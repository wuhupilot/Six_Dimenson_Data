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rf\Desktop\Sensor\"/>
    </mc:Choice>
  </mc:AlternateContent>
  <xr:revisionPtr revIDLastSave="0" documentId="13_ncr:1_{641E38B4-2C00-421B-AE0B-CFB4EE563727}" xr6:coauthVersionLast="47" xr6:coauthVersionMax="47" xr10:uidLastSave="{00000000-0000-0000-0000-000000000000}"/>
  <bookViews>
    <workbookView xWindow="-108" yWindow="-108" windowWidth="23256" windowHeight="12456" xr2:uid="{7FDA5EC8-48ED-472D-AC44-A7AE4867A719}"/>
  </bookViews>
  <sheets>
    <sheet name="Grouped_Sensor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60" i="1" l="1"/>
  <c r="V57" i="1" a="1"/>
  <c r="V57" i="1"/>
  <c r="Q59" i="1"/>
  <c r="T41" i="1"/>
  <c r="U41" i="1" s="1"/>
  <c r="Q58" i="1"/>
  <c r="V48" i="1"/>
  <c r="V49" i="1"/>
  <c r="V50" i="1"/>
  <c r="V51" i="1"/>
  <c r="V52" i="1"/>
  <c r="V53" i="1"/>
  <c r="V54" i="1"/>
  <c r="V55" i="1"/>
  <c r="V56" i="1"/>
  <c r="V47" i="1"/>
  <c r="U48" i="1"/>
  <c r="U49" i="1"/>
  <c r="U50" i="1"/>
  <c r="U51" i="1"/>
  <c r="U52" i="1"/>
  <c r="U53" i="1"/>
  <c r="U54" i="1"/>
  <c r="U55" i="1"/>
  <c r="U56" i="1"/>
  <c r="U47" i="1"/>
  <c r="T47" i="1"/>
  <c r="S47" i="1"/>
  <c r="R50" i="1"/>
  <c r="P56" i="1"/>
  <c r="P55" i="1"/>
  <c r="P54" i="1"/>
  <c r="P53" i="1"/>
  <c r="P52" i="1"/>
  <c r="P51" i="1"/>
  <c r="P50" i="1"/>
  <c r="P49" i="1"/>
  <c r="P48" i="1"/>
  <c r="P47" i="1"/>
  <c r="W41" i="1"/>
  <c r="V32" i="1"/>
  <c r="V33" i="1"/>
  <c r="V34" i="1"/>
  <c r="V35" i="1"/>
  <c r="V36" i="1"/>
  <c r="V37" i="1"/>
  <c r="V38" i="1"/>
  <c r="V39" i="1"/>
  <c r="V40" i="1"/>
  <c r="V31" i="1"/>
  <c r="U36" i="1"/>
  <c r="U31" i="1"/>
  <c r="T40" i="1"/>
  <c r="T36" i="1"/>
  <c r="T35" i="1"/>
  <c r="T31" i="1"/>
  <c r="S37" i="1"/>
  <c r="S38" i="1"/>
  <c r="S39" i="1"/>
  <c r="S40" i="1"/>
  <c r="S32" i="1"/>
  <c r="S33" i="1"/>
  <c r="S34" i="1"/>
  <c r="S35" i="1"/>
  <c r="R40" i="1"/>
  <c r="R39" i="1"/>
  <c r="T39" i="1" s="1"/>
  <c r="R38" i="1"/>
  <c r="T38" i="1" s="1"/>
  <c r="R37" i="1"/>
  <c r="T37" i="1" s="1"/>
  <c r="R36" i="1"/>
  <c r="R35" i="1"/>
  <c r="R34" i="1"/>
  <c r="T34" i="1" s="1"/>
  <c r="R33" i="1"/>
  <c r="T33" i="1" s="1"/>
  <c r="R32" i="1"/>
  <c r="T32" i="1" s="1"/>
  <c r="R31" i="1"/>
  <c r="Q37" i="1"/>
  <c r="Q38" i="1"/>
  <c r="Q39" i="1"/>
  <c r="Q40" i="1"/>
  <c r="Q36" i="1"/>
  <c r="S36" i="1" s="1"/>
  <c r="Q33" i="1"/>
  <c r="Q34" i="1"/>
  <c r="Q35" i="1"/>
  <c r="Q32" i="1"/>
  <c r="Q31" i="1"/>
  <c r="S31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<sst xmlns="http://schemas.openxmlformats.org/spreadsheetml/2006/main" count="46" uniqueCount="44">
  <si>
    <t>标定数据</t>
    <phoneticPr fontId="18" type="noConversion"/>
  </si>
  <si>
    <t>施加的力</t>
    <phoneticPr fontId="18" type="noConversion"/>
  </si>
  <si>
    <t>Fx</t>
    <phoneticPr fontId="18" type="noConversion"/>
  </si>
  <si>
    <t>Fy</t>
    <phoneticPr fontId="18" type="noConversion"/>
  </si>
  <si>
    <t>Fz</t>
    <phoneticPr fontId="18" type="noConversion"/>
  </si>
  <si>
    <t>Mx</t>
    <phoneticPr fontId="18" type="noConversion"/>
  </si>
  <si>
    <t>My</t>
    <phoneticPr fontId="18" type="noConversion"/>
  </si>
  <si>
    <t>Mz</t>
    <phoneticPr fontId="18" type="noConversion"/>
  </si>
  <si>
    <t>UFx</t>
    <phoneticPr fontId="18" type="noConversion"/>
  </si>
  <si>
    <t>Ufy</t>
    <phoneticPr fontId="18" type="noConversion"/>
  </si>
  <si>
    <t>UFz</t>
    <phoneticPr fontId="18" type="noConversion"/>
  </si>
  <si>
    <t>UMx</t>
    <phoneticPr fontId="18" type="noConversion"/>
  </si>
  <si>
    <t>UMy</t>
    <phoneticPr fontId="18" type="noConversion"/>
  </si>
  <si>
    <t>UMz</t>
    <phoneticPr fontId="18" type="noConversion"/>
  </si>
  <si>
    <t>U0</t>
    <phoneticPr fontId="18" type="noConversion"/>
  </si>
  <si>
    <t>U60</t>
    <phoneticPr fontId="18" type="noConversion"/>
  </si>
  <si>
    <t>U110</t>
    <phoneticPr fontId="18" type="noConversion"/>
  </si>
  <si>
    <t>U160</t>
    <phoneticPr fontId="18" type="noConversion"/>
  </si>
  <si>
    <t>U210</t>
    <phoneticPr fontId="18" type="noConversion"/>
  </si>
  <si>
    <t>正行程平均值</t>
    <phoneticPr fontId="18" type="noConversion"/>
  </si>
  <si>
    <t>U-60</t>
    <phoneticPr fontId="18" type="noConversion"/>
  </si>
  <si>
    <t>U-110</t>
    <phoneticPr fontId="18" type="noConversion"/>
  </si>
  <si>
    <t>U-160</t>
    <phoneticPr fontId="18" type="noConversion"/>
  </si>
  <si>
    <t>U-210</t>
    <phoneticPr fontId="18" type="noConversion"/>
  </si>
  <si>
    <t>反行程平均值</t>
    <phoneticPr fontId="18" type="noConversion"/>
  </si>
  <si>
    <t>正行程标准差</t>
    <phoneticPr fontId="18" type="noConversion"/>
  </si>
  <si>
    <t>反行程标准差</t>
    <phoneticPr fontId="18" type="noConversion"/>
  </si>
  <si>
    <t>标准偏差</t>
    <phoneticPr fontId="18" type="noConversion"/>
  </si>
  <si>
    <t>迟滞性</t>
    <phoneticPr fontId="18" type="noConversion"/>
  </si>
  <si>
    <t>正行程平均值-反行程平均值</t>
    <phoneticPr fontId="18" type="noConversion"/>
  </si>
  <si>
    <t>线性度</t>
    <phoneticPr fontId="18" type="noConversion"/>
  </si>
  <si>
    <t>最小二乘直线方程</t>
    <phoneticPr fontId="18" type="noConversion"/>
  </si>
  <si>
    <t>平均电压值（Xi）</t>
  </si>
  <si>
    <t>标准压力值</t>
  </si>
  <si>
    <t>标准压力值总和</t>
  </si>
  <si>
    <t>a</t>
  </si>
  <si>
    <t>b</t>
  </si>
  <si>
    <t>Y=aX+b</t>
  </si>
  <si>
    <t>标准压力值-最小二乘法</t>
  </si>
  <si>
    <t>压力*平均电压值</t>
  </si>
  <si>
    <t>Fx</t>
  </si>
  <si>
    <t>重复性R（%FS）</t>
  </si>
  <si>
    <t>迟滞性H（%FS）</t>
  </si>
  <si>
    <t>线性度L（%FS）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</si>
</sst>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0_ "/>
    <numFmt numFmtId="177" formatCode="0.0000_ ;[Red]\-0.0000\ "/>
  </numFmts>
  <fonts count="20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9" fillId="0" borderId="0">
      <alignment vertical="center"/>
    </xf>
  </cellStyleXfs>
  <cellXfs count="9">
    <xf numFmtId="0" fontId="0" fillId="0" borderId="0" xfId="0">
      <alignment vertical="center"/>
    </xf>
    <xf numFmtId="0" fontId="19" fillId="0" borderId="0" xfId="42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177" fontId="19" fillId="0" borderId="10" xfId="0" applyNumberFormat="1" applyFont="1" applyBorder="1">
      <alignment vertical="center"/>
    </xf>
    <xf numFmtId="177" fontId="0" fillId="0" borderId="10" xfId="0" applyNumberFormat="1" applyBorder="1">
      <alignment vertical="center"/>
    </xf>
    <xf numFmtId="0" fontId="0" fillId="0" borderId="10" xfId="0" applyBorder="1">
      <alignment vertical="center"/>
    </xf>
    <xf numFmtId="0" fontId="0" fillId="0" borderId="10" xfId="0" applyBorder="1" applyAlignment="1">
      <alignment horizontal="center" vertical="center"/>
    </xf>
    <xf numFmtId="177" fontId="0" fillId="0" borderId="10" xfId="0" applyNumberFormat="1" applyBorder="1" applyAlignment="1">
      <alignment horizontal="center" vertical="center"/>
    </xf>
  </cellXfs>
  <cellStyles count="43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常规 2" xfId="42" xr:uid="{3F7B3E57-BFFE-4360-9777-79DD0370499C}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FC21D-90CA-4DC8-8915-DF5DC91FFE16}">
  <dimension ref="A1:Y270"/>
  <sheetViews>
    <sheetView tabSelected="1" workbookViewId="0">
      <selection activeCell="T57" sqref="T57"/>
    </sheetView>
  </sheetViews>
  <sheetFormatPr defaultRowHeight="13.8" x14ac:dyDescent="0.25"/>
  <cols>
    <col min="1" max="1" width="12.109375" customWidth="1"/>
    <col min="2" max="3" width="12.77734375" bestFit="1" customWidth="1"/>
    <col min="4" max="4" width="11.5546875" bestFit="1" customWidth="1"/>
    <col min="5" max="7" width="12.77734375" bestFit="1" customWidth="1"/>
    <col min="16" max="16" width="21.33203125" customWidth="1"/>
    <col min="17" max="17" width="12.77734375" bestFit="1" customWidth="1"/>
    <col min="18" max="18" width="22.44140625" customWidth="1"/>
    <col min="19" max="21" width="12.77734375" bestFit="1" customWidth="1"/>
    <col min="22" max="22" width="23.6640625" customWidth="1"/>
    <col min="23" max="23" width="9.109375" bestFit="1" customWidth="1"/>
  </cols>
  <sheetData>
    <row r="1" spans="1:23" x14ac:dyDescent="0.25">
      <c r="A1" t="s">
        <v>0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</v>
      </c>
      <c r="I1" t="s">
        <v>2</v>
      </c>
      <c r="J1" t="s">
        <v>3</v>
      </c>
      <c r="K1" t="s">
        <v>4</v>
      </c>
      <c r="L1" t="s">
        <v>5</v>
      </c>
      <c r="M1" t="s">
        <v>6</v>
      </c>
      <c r="N1" t="s">
        <v>7</v>
      </c>
      <c r="P1" s="4"/>
      <c r="Q1" s="5"/>
      <c r="R1" s="5"/>
      <c r="S1" s="5"/>
      <c r="T1" s="5"/>
      <c r="U1" s="5"/>
      <c r="V1" s="5"/>
    </row>
    <row r="2" spans="1:23" x14ac:dyDescent="0.25">
      <c r="A2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P2" s="5"/>
      <c r="Q2" s="5"/>
      <c r="R2" s="5"/>
      <c r="S2" s="5"/>
      <c r="T2" s="5"/>
      <c r="U2" s="5"/>
      <c r="V2" s="5"/>
    </row>
    <row r="3" spans="1:23" x14ac:dyDescent="0.25">
      <c r="B3" s="3">
        <v>-99.569000000000102</v>
      </c>
      <c r="C3" s="3">
        <v>-2.2677999999999998</v>
      </c>
      <c r="D3" s="3">
        <v>2.1020000000000003</v>
      </c>
      <c r="E3" s="3">
        <v>3.5535999999999994</v>
      </c>
      <c r="F3" s="3">
        <v>-37.514200000000002</v>
      </c>
      <c r="G3" s="3">
        <v>22.726200000000006</v>
      </c>
      <c r="I3" s="1">
        <v>60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P3" s="5"/>
      <c r="Q3" s="5"/>
      <c r="R3" s="5"/>
      <c r="S3" s="5"/>
      <c r="T3" s="5"/>
      <c r="U3" s="5"/>
      <c r="V3" s="5"/>
    </row>
    <row r="4" spans="1:23" x14ac:dyDescent="0.25">
      <c r="B4" s="3">
        <v>-182.6238000000001</v>
      </c>
      <c r="C4" s="3">
        <v>-3.8832</v>
      </c>
      <c r="D4" s="3">
        <v>3.6328</v>
      </c>
      <c r="E4" s="3">
        <v>6.7721999999999021</v>
      </c>
      <c r="F4" s="3">
        <v>-69.115600000000001</v>
      </c>
      <c r="G4" s="3">
        <v>43.402000000000015</v>
      </c>
      <c r="I4" s="1">
        <v>110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P4" s="5"/>
      <c r="Q4" s="5"/>
      <c r="R4" s="5"/>
      <c r="S4" s="5"/>
      <c r="T4" s="5"/>
      <c r="U4" s="5"/>
      <c r="V4" s="5"/>
    </row>
    <row r="5" spans="1:23" x14ac:dyDescent="0.25">
      <c r="B5" s="3">
        <v>-265.85900000000009</v>
      </c>
      <c r="C5" s="3">
        <v>-5.9794</v>
      </c>
      <c r="D5" s="3">
        <v>5.5049999999999999</v>
      </c>
      <c r="E5" s="3">
        <v>10.345600000000001</v>
      </c>
      <c r="F5" s="3">
        <v>-100.7876</v>
      </c>
      <c r="G5" s="3">
        <v>64.053400000000011</v>
      </c>
      <c r="I5" s="1">
        <v>160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P5" s="5"/>
      <c r="Q5" s="5"/>
      <c r="R5" s="5"/>
      <c r="S5" s="5"/>
      <c r="T5" s="5"/>
      <c r="U5" s="5"/>
      <c r="V5" s="5"/>
    </row>
    <row r="6" spans="1:23" x14ac:dyDescent="0.25">
      <c r="B6" s="3">
        <v>-347.44800000000009</v>
      </c>
      <c r="C6" s="3">
        <v>-7.8239999999999998</v>
      </c>
      <c r="D6" s="3">
        <v>8.1291999999999902</v>
      </c>
      <c r="E6" s="3">
        <v>13.590200000000003</v>
      </c>
      <c r="F6" s="3">
        <v>-131.71379999999999</v>
      </c>
      <c r="G6" s="3">
        <v>80.801200000000023</v>
      </c>
      <c r="I6" s="1">
        <v>210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P6" s="5"/>
      <c r="Q6" s="5"/>
      <c r="R6" s="5"/>
      <c r="S6" s="5"/>
      <c r="T6" s="5"/>
      <c r="U6" s="5"/>
      <c r="V6" s="5"/>
    </row>
    <row r="7" spans="1:23" x14ac:dyDescent="0.25">
      <c r="B7" s="3">
        <v>-266.56979999999999</v>
      </c>
      <c r="C7" s="3">
        <v>-6.3133999999999997</v>
      </c>
      <c r="D7" s="3">
        <v>5.2826000000000004</v>
      </c>
      <c r="E7" s="3">
        <v>10.5125999999999</v>
      </c>
      <c r="F7" s="3">
        <v>-101.2466</v>
      </c>
      <c r="G7" s="3">
        <v>57.936599999999999</v>
      </c>
      <c r="I7" s="1">
        <v>160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P7" s="5"/>
      <c r="Q7" s="5"/>
      <c r="R7" s="5"/>
      <c r="S7" s="5"/>
      <c r="T7" s="5"/>
      <c r="U7" s="5"/>
      <c r="V7" s="5"/>
    </row>
    <row r="8" spans="1:23" x14ac:dyDescent="0.25">
      <c r="B8" s="3">
        <v>-183.8526</v>
      </c>
      <c r="C8" s="3">
        <v>-4.7043999999999997</v>
      </c>
      <c r="D8" s="3">
        <v>4.4177999999999997</v>
      </c>
      <c r="E8" s="3">
        <v>7.3118000000000016</v>
      </c>
      <c r="F8" s="3">
        <v>-70.016000000000005</v>
      </c>
      <c r="G8" s="3">
        <v>28.56480000000002</v>
      </c>
      <c r="I8" s="1">
        <v>110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P8" s="5"/>
      <c r="Q8" s="5"/>
      <c r="R8" s="5"/>
      <c r="S8" s="5"/>
      <c r="T8" s="5"/>
      <c r="U8" s="5"/>
      <c r="V8" s="5"/>
    </row>
    <row r="9" spans="1:23" x14ac:dyDescent="0.25">
      <c r="B9" s="3">
        <v>-100.3644000000001</v>
      </c>
      <c r="C9" s="3">
        <v>-2.6758000000000002</v>
      </c>
      <c r="D9" s="3">
        <v>1.2570000000000001</v>
      </c>
      <c r="E9" s="3">
        <v>3.8923999999999026</v>
      </c>
      <c r="F9" s="3">
        <v>-38.517600000000002</v>
      </c>
      <c r="G9" s="3">
        <v>-4.9222000000000037</v>
      </c>
      <c r="I9" s="1">
        <v>60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P9" s="5"/>
      <c r="Q9" s="5"/>
      <c r="R9" s="5"/>
      <c r="S9" s="5"/>
      <c r="T9" s="5"/>
      <c r="U9" s="5"/>
      <c r="V9" s="5"/>
    </row>
    <row r="10" spans="1:23" x14ac:dyDescent="0.25">
      <c r="B10" s="3">
        <v>0.420599999999901</v>
      </c>
      <c r="C10" s="3">
        <v>-0.66779999999999973</v>
      </c>
      <c r="D10" s="3">
        <v>-2.161</v>
      </c>
      <c r="E10" s="3">
        <v>0.32520000000000238</v>
      </c>
      <c r="F10" s="3">
        <v>0.9463999999999988</v>
      </c>
      <c r="G10" s="3">
        <v>-6.3374000000000024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P10" s="5"/>
      <c r="Q10" s="5"/>
      <c r="R10" s="5"/>
      <c r="S10" s="5"/>
      <c r="T10" s="5"/>
      <c r="U10" s="5"/>
      <c r="V10" s="5"/>
    </row>
    <row r="11" spans="1:23" x14ac:dyDescent="0.25">
      <c r="B11" s="3">
        <v>-98.459000000000088</v>
      </c>
      <c r="C11" s="3">
        <v>-2.0504000000000002</v>
      </c>
      <c r="D11" s="3">
        <v>0.61240000000000006</v>
      </c>
      <c r="E11" s="3">
        <v>3.1414000000000009</v>
      </c>
      <c r="F11" s="3">
        <v>-35.692599999999899</v>
      </c>
      <c r="G11" s="3">
        <v>14.085800000000006</v>
      </c>
      <c r="I11" s="1">
        <v>60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P11" s="5"/>
      <c r="Q11" s="5"/>
      <c r="R11" s="5"/>
      <c r="S11" s="5"/>
      <c r="T11" s="5"/>
      <c r="U11" s="5"/>
      <c r="V11" s="5"/>
    </row>
    <row r="12" spans="1:23" x14ac:dyDescent="0.25">
      <c r="B12" s="3">
        <v>-181.2600000000001</v>
      </c>
      <c r="C12" s="3">
        <v>-3.8196000000000003</v>
      </c>
      <c r="D12" s="3">
        <v>1.9780000000000002</v>
      </c>
      <c r="E12" s="3">
        <v>6.1304000000000016</v>
      </c>
      <c r="F12" s="3">
        <v>-67.235799999999998</v>
      </c>
      <c r="G12" s="3">
        <v>38.504000000000019</v>
      </c>
      <c r="I12" s="1">
        <v>110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P12" s="5"/>
      <c r="Q12" s="5"/>
      <c r="R12" s="5"/>
      <c r="S12" s="5"/>
      <c r="T12" s="5"/>
      <c r="U12" s="5"/>
      <c r="V12" s="6"/>
    </row>
    <row r="13" spans="1:23" x14ac:dyDescent="0.25">
      <c r="B13" s="3">
        <v>-264.00220000000013</v>
      </c>
      <c r="C13" s="3">
        <v>-5.4312000000000005</v>
      </c>
      <c r="D13" s="3">
        <v>3.7816000000000001</v>
      </c>
      <c r="E13" s="3">
        <v>9.4436</v>
      </c>
      <c r="F13" s="3">
        <v>-98.836399999999998</v>
      </c>
      <c r="G13" s="3">
        <v>60.885199999999998</v>
      </c>
      <c r="I13" s="1">
        <v>160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P13" s="6"/>
      <c r="Q13" s="6"/>
      <c r="R13" s="6"/>
      <c r="S13" s="6"/>
      <c r="T13" s="6"/>
      <c r="U13" s="6"/>
      <c r="V13" s="6"/>
    </row>
    <row r="14" spans="1:23" x14ac:dyDescent="0.25">
      <c r="B14" s="3">
        <v>-346.8060000000001</v>
      </c>
      <c r="C14" s="3">
        <v>-7.1095999999999897</v>
      </c>
      <c r="D14" s="3">
        <v>6.1113999999999997</v>
      </c>
      <c r="E14" s="3">
        <v>12.229200000000002</v>
      </c>
      <c r="F14" s="3">
        <v>-129.78259999999898</v>
      </c>
      <c r="G14" s="3">
        <v>81.683400000000006</v>
      </c>
      <c r="I14" s="1">
        <v>210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P14" s="6"/>
      <c r="Q14" s="6"/>
      <c r="R14" s="5"/>
      <c r="S14" s="6"/>
      <c r="T14" s="6"/>
      <c r="U14" s="6"/>
      <c r="V14" s="5"/>
    </row>
    <row r="15" spans="1:23" x14ac:dyDescent="0.25">
      <c r="B15" s="3">
        <v>-267.06979999999999</v>
      </c>
      <c r="C15" s="3">
        <v>-6.3133999999999997</v>
      </c>
      <c r="D15" s="3">
        <v>5.2826000000000004</v>
      </c>
      <c r="E15" s="3">
        <v>10.5125999999999</v>
      </c>
      <c r="F15" s="3">
        <v>-101.2466</v>
      </c>
      <c r="G15" s="3">
        <v>57.936599999999999</v>
      </c>
      <c r="I15" s="1">
        <v>160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</row>
    <row r="16" spans="1:23" x14ac:dyDescent="0.25">
      <c r="B16" s="3">
        <v>-184.3526</v>
      </c>
      <c r="C16" s="3">
        <v>-4.7043999999999997</v>
      </c>
      <c r="D16" s="3">
        <v>4.4177999999999997</v>
      </c>
      <c r="E16" s="3">
        <v>7.3118000000000016</v>
      </c>
      <c r="F16" s="3">
        <v>-70.016000000000005</v>
      </c>
      <c r="G16" s="3">
        <v>28.56480000000002</v>
      </c>
      <c r="I16" s="1">
        <v>110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P16" s="2"/>
      <c r="Q16" s="4"/>
      <c r="R16" s="5"/>
      <c r="S16" s="5"/>
      <c r="T16" s="5"/>
      <c r="U16" s="5"/>
      <c r="V16" s="5"/>
      <c r="W16" s="5"/>
    </row>
    <row r="17" spans="1:25" x14ac:dyDescent="0.25">
      <c r="B17" s="3">
        <v>-100.76439999999999</v>
      </c>
      <c r="C17" s="3">
        <v>-2.6758000000000002</v>
      </c>
      <c r="D17" s="3">
        <v>1.2570000000000001</v>
      </c>
      <c r="E17" s="3">
        <v>3.8923999999999026</v>
      </c>
      <c r="F17" s="3">
        <v>-38.517600000000002</v>
      </c>
      <c r="G17" s="3">
        <v>-4.9222000000000037</v>
      </c>
      <c r="I17" s="1">
        <v>60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P17" s="2"/>
      <c r="Q17" s="5"/>
      <c r="R17" s="5"/>
      <c r="S17" s="5"/>
      <c r="T17" s="5"/>
      <c r="U17" s="5"/>
      <c r="V17" s="5"/>
      <c r="W17" s="5"/>
    </row>
    <row r="18" spans="1:25" x14ac:dyDescent="0.25">
      <c r="B18" s="3">
        <v>0.43059999999990101</v>
      </c>
      <c r="C18" s="3">
        <v>-0.66779999999999973</v>
      </c>
      <c r="D18" s="3">
        <v>-2.161</v>
      </c>
      <c r="E18" s="3">
        <v>0.32520000000000238</v>
      </c>
      <c r="F18" s="3">
        <v>0.9463999999999988</v>
      </c>
      <c r="G18" s="3">
        <v>-6.3374000000000024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P18" s="2"/>
      <c r="Q18" s="5"/>
      <c r="R18" s="5"/>
      <c r="S18" s="5"/>
      <c r="T18" s="5"/>
      <c r="U18" s="5"/>
      <c r="V18" s="5"/>
      <c r="W18" s="5"/>
    </row>
    <row r="19" spans="1:25" x14ac:dyDescent="0.25">
      <c r="B19" s="3">
        <v>-98.459000000000088</v>
      </c>
      <c r="C19" s="3">
        <v>-2.0504000000000002</v>
      </c>
      <c r="D19" s="3">
        <v>0.61240000000000006</v>
      </c>
      <c r="E19" s="3">
        <v>3.1414000000000009</v>
      </c>
      <c r="F19" s="3">
        <v>-35.692599999999899</v>
      </c>
      <c r="G19" s="3">
        <v>14.085800000000006</v>
      </c>
      <c r="I19" s="1">
        <v>60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P19" s="2"/>
      <c r="Q19" s="5"/>
      <c r="R19" s="5"/>
      <c r="S19" s="5"/>
      <c r="T19" s="5"/>
      <c r="U19" s="5"/>
      <c r="V19" s="5"/>
      <c r="W19" s="5"/>
    </row>
    <row r="20" spans="1:25" x14ac:dyDescent="0.25">
      <c r="B20" s="3">
        <v>-181.2600000000001</v>
      </c>
      <c r="C20" s="3">
        <v>-3.8196000000000003</v>
      </c>
      <c r="D20" s="3">
        <v>1.9780000000000002</v>
      </c>
      <c r="E20" s="3">
        <v>6.1304000000000016</v>
      </c>
      <c r="F20" s="3">
        <v>-67.235799999999998</v>
      </c>
      <c r="G20" s="3">
        <v>38.504000000000019</v>
      </c>
      <c r="I20" s="1">
        <v>110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P20" s="2"/>
      <c r="Q20" s="5"/>
      <c r="R20" s="5"/>
      <c r="S20" s="5"/>
      <c r="T20" s="5"/>
      <c r="U20" s="5"/>
      <c r="V20" s="5"/>
      <c r="W20" s="5"/>
    </row>
    <row r="21" spans="1:25" x14ac:dyDescent="0.25">
      <c r="B21" s="3">
        <v>-264.00220000000013</v>
      </c>
      <c r="C21" s="3">
        <v>-5.4312000000000005</v>
      </c>
      <c r="D21" s="3">
        <v>3.7816000000000001</v>
      </c>
      <c r="E21" s="3">
        <v>9.4436</v>
      </c>
      <c r="F21" s="3">
        <v>-98.836399999999998</v>
      </c>
      <c r="G21" s="3">
        <v>60.885199999999998</v>
      </c>
      <c r="I21" s="1">
        <v>160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P21" s="2"/>
      <c r="Q21" s="5"/>
      <c r="R21" s="5"/>
      <c r="S21" s="5"/>
      <c r="T21" s="5"/>
      <c r="U21" s="5"/>
      <c r="V21" s="5"/>
      <c r="W21" s="5"/>
    </row>
    <row r="22" spans="1:25" x14ac:dyDescent="0.25">
      <c r="B22" s="3">
        <v>-346.8060000000001</v>
      </c>
      <c r="C22" s="3">
        <v>-7.1095999999999897</v>
      </c>
      <c r="D22" s="3">
        <v>6.1113999999999997</v>
      </c>
      <c r="E22" s="3">
        <v>12.229200000000002</v>
      </c>
      <c r="F22" s="3">
        <v>-129.78259999999898</v>
      </c>
      <c r="G22" s="3">
        <v>81.683400000000006</v>
      </c>
      <c r="I22" s="1">
        <v>210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P22" s="2"/>
      <c r="Q22" s="5"/>
      <c r="R22" s="5"/>
      <c r="S22" s="5"/>
      <c r="T22" s="5"/>
      <c r="U22" s="5"/>
      <c r="V22" s="5"/>
      <c r="W22" s="5"/>
    </row>
    <row r="23" spans="1:25" x14ac:dyDescent="0.25">
      <c r="B23" s="3">
        <v>-266.03980000000001</v>
      </c>
      <c r="C23" s="3">
        <v>-6.3133999999999997</v>
      </c>
      <c r="D23" s="3">
        <v>5.2826000000000004</v>
      </c>
      <c r="E23" s="3">
        <v>10.5125999999999</v>
      </c>
      <c r="F23" s="3">
        <v>-101.2466</v>
      </c>
      <c r="G23" s="3">
        <v>57.936599999999999</v>
      </c>
      <c r="I23" s="1">
        <v>160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P23" s="2"/>
      <c r="Q23" s="5"/>
      <c r="R23" s="5"/>
      <c r="S23" s="5"/>
      <c r="T23" s="5"/>
      <c r="U23" s="5"/>
      <c r="V23" s="5"/>
      <c r="W23" s="5"/>
    </row>
    <row r="24" spans="1:25" x14ac:dyDescent="0.25">
      <c r="B24" s="3">
        <v>-183.8526</v>
      </c>
      <c r="C24" s="3">
        <v>-4.7043999999999997</v>
      </c>
      <c r="D24" s="3">
        <v>4.4177999999999997</v>
      </c>
      <c r="E24" s="3">
        <v>7.3118000000000016</v>
      </c>
      <c r="F24" s="3">
        <v>-70.016000000000005</v>
      </c>
      <c r="G24" s="3">
        <v>28.56480000000002</v>
      </c>
      <c r="I24" s="1">
        <v>110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P24" s="2"/>
      <c r="Q24" s="5"/>
      <c r="R24" s="5"/>
      <c r="S24" s="5"/>
      <c r="T24" s="5"/>
      <c r="U24" s="5"/>
      <c r="V24" s="5"/>
      <c r="W24" s="5"/>
    </row>
    <row r="25" spans="1:25" x14ac:dyDescent="0.25">
      <c r="B25" s="3">
        <v>-101.3644</v>
      </c>
      <c r="C25" s="3">
        <v>-2.6758000000000002</v>
      </c>
      <c r="D25" s="3">
        <v>1.2570000000000001</v>
      </c>
      <c r="E25" s="3">
        <v>3.8923999999999026</v>
      </c>
      <c r="F25" s="3">
        <v>-38.517600000000002</v>
      </c>
      <c r="G25" s="3">
        <v>-4.9222000000000037</v>
      </c>
      <c r="I25" s="1">
        <v>60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P25" s="2"/>
      <c r="Q25" s="5"/>
      <c r="R25" s="5"/>
      <c r="S25" s="5"/>
      <c r="T25" s="5"/>
      <c r="U25" s="5"/>
      <c r="V25" s="5"/>
      <c r="W25" s="5"/>
    </row>
    <row r="26" spans="1:25" x14ac:dyDescent="0.25">
      <c r="B26" s="3">
        <v>0.47059999999990099</v>
      </c>
      <c r="C26" s="3">
        <v>-0.66779999999999973</v>
      </c>
      <c r="D26" s="3">
        <v>-2.161</v>
      </c>
      <c r="E26" s="3">
        <v>0.32520000000000238</v>
      </c>
      <c r="F26" s="3">
        <v>0.9463999999999988</v>
      </c>
      <c r="G26" s="3">
        <v>-6.3374000000000024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P26" s="2"/>
      <c r="Q26" s="5"/>
      <c r="R26" s="5"/>
      <c r="S26" s="5"/>
      <c r="T26" s="5"/>
      <c r="U26" s="5"/>
      <c r="V26" s="5"/>
      <c r="W26" s="5"/>
    </row>
    <row r="27" spans="1:25" x14ac:dyDescent="0.25">
      <c r="A27">
        <v>1</v>
      </c>
      <c r="B27" s="3">
        <v>0</v>
      </c>
      <c r="C27" s="3">
        <v>0</v>
      </c>
      <c r="D27" s="3">
        <v>0</v>
      </c>
      <c r="E27" s="3">
        <v>0</v>
      </c>
      <c r="F27" s="3">
        <v>0</v>
      </c>
      <c r="G27" s="3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P27" s="2"/>
      <c r="Q27" s="5"/>
      <c r="R27" s="5"/>
      <c r="S27" s="5"/>
      <c r="T27" s="5"/>
      <c r="U27" s="5"/>
      <c r="V27" s="5"/>
      <c r="W27" s="6"/>
    </row>
    <row r="28" spans="1:25" x14ac:dyDescent="0.25">
      <c r="B28" s="3">
        <v>100.31180000000001</v>
      </c>
      <c r="C28" s="3">
        <v>0.25760000000000005</v>
      </c>
      <c r="D28" s="3">
        <v>-4.2570000000000103</v>
      </c>
      <c r="E28" s="3">
        <v>-2.7102000000000004</v>
      </c>
      <c r="F28" s="3">
        <v>39.182399999999902</v>
      </c>
      <c r="G28" s="3">
        <v>12.811199999999019</v>
      </c>
      <c r="I28" s="1">
        <v>-60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P28" s="2"/>
      <c r="Q28" s="6"/>
      <c r="R28" s="6"/>
      <c r="S28" s="6"/>
      <c r="T28" s="6"/>
      <c r="U28" s="6"/>
      <c r="V28" s="6"/>
      <c r="W28" s="6"/>
    </row>
    <row r="29" spans="1:25" x14ac:dyDescent="0.25">
      <c r="B29" s="3">
        <v>184.8544</v>
      </c>
      <c r="C29" s="3">
        <v>1.7671999999999999</v>
      </c>
      <c r="D29" s="3">
        <v>-7.8783999999999104</v>
      </c>
      <c r="E29" s="3">
        <v>-5.9212000000000007</v>
      </c>
      <c r="F29" s="3">
        <v>72.545199999999909</v>
      </c>
      <c r="G29" s="3">
        <v>28.525800000000004</v>
      </c>
      <c r="I29" s="1">
        <v>-110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P29" s="2"/>
      <c r="Q29" s="6"/>
      <c r="R29" s="6"/>
      <c r="S29" s="5"/>
      <c r="T29" s="6"/>
      <c r="U29" s="6"/>
      <c r="V29" s="6"/>
      <c r="W29" s="5"/>
    </row>
    <row r="30" spans="1:25" x14ac:dyDescent="0.25">
      <c r="B30" s="3">
        <v>268.68539999999996</v>
      </c>
      <c r="C30" s="3">
        <v>3.0852000000000004</v>
      </c>
      <c r="D30" s="3">
        <v>-11.63460000000001</v>
      </c>
      <c r="E30" s="3">
        <v>-9.1601999999999997</v>
      </c>
      <c r="F30" s="3">
        <v>105.0536</v>
      </c>
      <c r="G30" s="3">
        <v>46.813999999999993</v>
      </c>
      <c r="I30" s="1">
        <v>-160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P30" s="2" t="s">
        <v>2</v>
      </c>
      <c r="Q30" s="2" t="s">
        <v>19</v>
      </c>
      <c r="R30" s="2" t="s">
        <v>24</v>
      </c>
      <c r="S30" s="2" t="s">
        <v>25</v>
      </c>
      <c r="T30" s="2" t="s">
        <v>26</v>
      </c>
      <c r="U30" s="2" t="s">
        <v>27</v>
      </c>
      <c r="V30" s="2" t="s">
        <v>29</v>
      </c>
      <c r="Y30" s="2" t="s">
        <v>28</v>
      </c>
    </row>
    <row r="31" spans="1:25" x14ac:dyDescent="0.25">
      <c r="B31" s="3">
        <v>353.06119999999896</v>
      </c>
      <c r="C31" s="3">
        <v>4.7988000000000008</v>
      </c>
      <c r="D31" s="3">
        <v>-14.710400000000011</v>
      </c>
      <c r="E31" s="3">
        <v>-12.603000000000002</v>
      </c>
      <c r="F31" s="3">
        <v>137.56880000000001</v>
      </c>
      <c r="G31" s="3">
        <v>61.587600000000009</v>
      </c>
      <c r="I31" s="1">
        <v>-210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P31" s="2" t="s">
        <v>14</v>
      </c>
      <c r="Q31" s="2">
        <f>AVERAGE(B2,B10,B18)</f>
        <v>0.28373333333326733</v>
      </c>
      <c r="R31" s="2">
        <f>AVERAGE(B10,B18,B26)</f>
        <v>0.44059999999990102</v>
      </c>
      <c r="S31" s="2">
        <f>SQRT(SUMSQ(B2-Q31,B10-Q31,B18-Q31)/2)</f>
        <v>0.24577114015544063</v>
      </c>
      <c r="T31" s="2">
        <f>SQRT(SUMSQ(B10-R31,B18-R31,B26-R31)/2)</f>
        <v>2.6457513110645897E-2</v>
      </c>
      <c r="U31" s="2">
        <f>SQRT(SUMSQ(S31:T35)/COUNT(S31:T35))</f>
        <v>0.5583695025100498</v>
      </c>
      <c r="V31" s="2">
        <f>Q31-R31</f>
        <v>-0.15686666666663368</v>
      </c>
    </row>
    <row r="32" spans="1:25" x14ac:dyDescent="0.25">
      <c r="B32" s="3">
        <v>268.72500000000002</v>
      </c>
      <c r="C32" s="3">
        <v>3.1013999999999999</v>
      </c>
      <c r="D32" s="3">
        <v>-11.72740000000001</v>
      </c>
      <c r="E32" s="3">
        <v>-9.4062000000000001</v>
      </c>
      <c r="F32" s="3">
        <v>105.2988</v>
      </c>
      <c r="G32" s="3">
        <v>42.218999999999994</v>
      </c>
      <c r="I32" s="1">
        <v>-160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P32" s="2" t="s">
        <v>15</v>
      </c>
      <c r="Q32" s="2">
        <f>AVERAGE(B3,B11,B19)</f>
        <v>-98.829000000000107</v>
      </c>
      <c r="R32" s="2">
        <f>AVERAGE(B9,B17,B25)</f>
        <v>-100.8310666666667</v>
      </c>
      <c r="S32" s="2">
        <f t="shared" ref="S32:S40" si="0">SQRT(SUMSQ(B3-Q32,B11-Q32,B19-Q32)/2)</f>
        <v>0.64085879880049246</v>
      </c>
      <c r="T32" s="2">
        <f>SQRT(SUMSQ(B9-R32,B17-R32,B25-R32)/2)</f>
        <v>0.50332229568467102</v>
      </c>
      <c r="U32" s="2"/>
      <c r="V32" s="2">
        <f t="shared" ref="V32:V40" si="1">Q32-R32</f>
        <v>2.0020666666665932</v>
      </c>
    </row>
    <row r="33" spans="2:23" x14ac:dyDescent="0.25">
      <c r="B33" s="3">
        <v>186.9196</v>
      </c>
      <c r="C33" s="3">
        <v>2.04659999999999</v>
      </c>
      <c r="D33" s="3">
        <v>-8.3407999999999092</v>
      </c>
      <c r="E33" s="3">
        <v>-5.8920000000001007</v>
      </c>
      <c r="F33" s="3">
        <v>72.966800000000006</v>
      </c>
      <c r="G33" s="3">
        <v>17.816000000000003</v>
      </c>
      <c r="I33" s="1">
        <v>-110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P33" s="2" t="s">
        <v>16</v>
      </c>
      <c r="Q33" s="2">
        <f t="shared" ref="Q33:Q35" si="2">AVERAGE(B4,B12,B20)</f>
        <v>-181.7146000000001</v>
      </c>
      <c r="R33" s="2">
        <f>AVERAGE(B8,B16,B24)</f>
        <v>-184.01926666666668</v>
      </c>
      <c r="S33" s="2">
        <f t="shared" si="0"/>
        <v>0.78739029712081021</v>
      </c>
      <c r="T33" s="2">
        <f>SQRT(SUMSQ(B8-R33,B16-R33,B24-R33)/2)</f>
        <v>0.28867513459481287</v>
      </c>
      <c r="U33" s="2"/>
      <c r="V33" s="2">
        <f t="shared" si="1"/>
        <v>2.3046666666665772</v>
      </c>
    </row>
    <row r="34" spans="2:23" x14ac:dyDescent="0.25">
      <c r="B34" s="3">
        <v>102.24079999999999</v>
      </c>
      <c r="C34" s="3">
        <v>0.40060000000000073</v>
      </c>
      <c r="D34" s="3">
        <v>-5.5066000000000095</v>
      </c>
      <c r="E34" s="3">
        <v>-2.4727999999999994</v>
      </c>
      <c r="F34" s="3">
        <v>40.3629999999999</v>
      </c>
      <c r="G34" s="3">
        <v>-7.679000000000002</v>
      </c>
      <c r="I34" s="1">
        <v>-60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P34" s="2" t="s">
        <v>17</v>
      </c>
      <c r="Q34" s="2">
        <f t="shared" si="2"/>
        <v>-264.62113333333349</v>
      </c>
      <c r="R34" s="2">
        <f>AVERAGE(B7,B15,B23)</f>
        <v>-266.5598</v>
      </c>
      <c r="S34" s="2">
        <f t="shared" si="0"/>
        <v>1.0720239798312765</v>
      </c>
      <c r="T34" s="2">
        <f>SQRT(SUMSQ(B7-R34,B15-R34,B23-R34)/2)</f>
        <v>0.51507281038702268</v>
      </c>
      <c r="U34" s="2"/>
      <c r="V34" s="2">
        <f t="shared" si="1"/>
        <v>1.9386666666665064</v>
      </c>
    </row>
    <row r="35" spans="2:23" x14ac:dyDescent="0.25">
      <c r="B35" s="3">
        <v>0.23960000000000001</v>
      </c>
      <c r="C35" s="3">
        <v>-0.68659999999999988</v>
      </c>
      <c r="D35" s="3">
        <v>-2.5605999999999991</v>
      </c>
      <c r="E35" s="3">
        <v>0.50259999999989802</v>
      </c>
      <c r="F35" s="3">
        <v>0.89179999999999993</v>
      </c>
      <c r="G35" s="3">
        <v>-6.2848000000009847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P35" s="2" t="s">
        <v>18</v>
      </c>
      <c r="Q35" s="2">
        <f t="shared" si="2"/>
        <v>-347.02000000000004</v>
      </c>
      <c r="R35" s="2">
        <f>AVERAGE(B6,B14,B22)</f>
        <v>-347.02000000000004</v>
      </c>
      <c r="S35" s="2">
        <f t="shared" si="0"/>
        <v>0.37065887281973736</v>
      </c>
      <c r="T35" s="2">
        <f>SQRT(SUMSQ(B6-R35,B14-R35,B22-R35)/2)</f>
        <v>0.37065887281973736</v>
      </c>
      <c r="U35" s="2"/>
      <c r="V35" s="2">
        <f t="shared" si="1"/>
        <v>0</v>
      </c>
    </row>
    <row r="36" spans="2:23" x14ac:dyDescent="0.25">
      <c r="B36" s="3">
        <v>100.2782</v>
      </c>
      <c r="C36" s="3">
        <v>0.93660000000000032</v>
      </c>
      <c r="D36" s="3">
        <v>-6.3552000000000088</v>
      </c>
      <c r="E36" s="3">
        <v>-3.2312000000000012</v>
      </c>
      <c r="F36" s="3">
        <v>38.657199999999904</v>
      </c>
      <c r="G36" s="3">
        <v>3.8300000000000125</v>
      </c>
      <c r="I36" s="1">
        <v>-60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P36" s="2" t="s">
        <v>14</v>
      </c>
      <c r="Q36" s="2">
        <f>AVERAGE(B27,B35,B43)</f>
        <v>0.15306666666666666</v>
      </c>
      <c r="R36" s="2">
        <f>AVERAGE(B35,B43,B51)</f>
        <v>0.25626666666666664</v>
      </c>
      <c r="S36" s="2">
        <f>SQRT(SUMSQ(B27-Q36,B35-Q36,B43-Q36)/2)</f>
        <v>0.132936275460588</v>
      </c>
      <c r="T36" s="2">
        <f>SQRT(SUMSQ(B35-R36,B43-R36,B51-R36)/2)</f>
        <v>4.725815626252608E-2</v>
      </c>
      <c r="U36" s="2">
        <f>SQRT(SUMSQ(S36:T40)/COUNT(S36:T40))</f>
        <v>0.72361108545937292</v>
      </c>
      <c r="V36" s="2">
        <f t="shared" si="1"/>
        <v>-0.10319999999999999</v>
      </c>
    </row>
    <row r="37" spans="2:23" x14ac:dyDescent="0.25">
      <c r="B37" s="3">
        <v>183.542</v>
      </c>
      <c r="C37" s="3">
        <v>2.2564000000000002</v>
      </c>
      <c r="D37" s="3">
        <v>-10.473600000000008</v>
      </c>
      <c r="E37" s="3">
        <v>-6.3372000000000011</v>
      </c>
      <c r="F37" s="3">
        <v>70.7256</v>
      </c>
      <c r="G37" s="3">
        <v>28.530599999999993</v>
      </c>
      <c r="I37" s="1">
        <v>-110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P37" s="2" t="s">
        <v>20</v>
      </c>
      <c r="Q37" s="2">
        <f t="shared" ref="Q37:Q40" si="3">AVERAGE(B28,B36,B44)</f>
        <v>100.2894</v>
      </c>
      <c r="R37" s="2">
        <f>AVERAGE(B42,B34,B50)</f>
        <v>101.94080000000001</v>
      </c>
      <c r="S37" s="2">
        <f t="shared" ref="S37:S40" si="4">SQRT(SUMSQ(B28-Q37,B36-Q37,B44-Q37)/2)</f>
        <v>1.9398969044775442E-2</v>
      </c>
      <c r="T37" s="2">
        <f>SQRT(SUMSQ(B34-R37,B42-R37,B50-R37)/2)</f>
        <v>0.29051678092667793</v>
      </c>
      <c r="U37" s="2"/>
      <c r="V37" s="2">
        <f t="shared" si="1"/>
        <v>-1.6514000000000095</v>
      </c>
    </row>
    <row r="38" spans="2:23" x14ac:dyDescent="0.25">
      <c r="B38" s="3">
        <v>268.04179999999997</v>
      </c>
      <c r="C38" s="3">
        <v>3.9021999999999997</v>
      </c>
      <c r="D38" s="3">
        <v>-13.632000000000009</v>
      </c>
      <c r="E38" s="3">
        <v>-9.68</v>
      </c>
      <c r="F38" s="3">
        <v>103.3124</v>
      </c>
      <c r="G38" s="3">
        <v>44.361800000000017</v>
      </c>
      <c r="I38" s="1">
        <v>-160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P38" s="2" t="s">
        <v>21</v>
      </c>
      <c r="Q38" s="2">
        <f t="shared" si="3"/>
        <v>183.97946666666667</v>
      </c>
      <c r="R38" s="2">
        <f>AVERAGE(B41,B33,B49)</f>
        <v>186.0529333333333</v>
      </c>
      <c r="S38" s="2">
        <f t="shared" si="4"/>
        <v>0.75771449328446294</v>
      </c>
      <c r="T38" s="2">
        <f>SQRT(SUMSQ(B33-R38,B41-R38,B49-R38)/2)</f>
        <v>0.80829037686547345</v>
      </c>
      <c r="U38" s="2"/>
      <c r="V38" s="2">
        <f t="shared" si="1"/>
        <v>-2.0734666666666328</v>
      </c>
    </row>
    <row r="39" spans="2:23" x14ac:dyDescent="0.25">
      <c r="B39" s="3">
        <v>350.77819999999997</v>
      </c>
      <c r="C39" s="3">
        <v>5.0984000000000007</v>
      </c>
      <c r="D39" s="3">
        <v>-16.02940000000001</v>
      </c>
      <c r="E39" s="3">
        <v>-12.87840000000001</v>
      </c>
      <c r="F39" s="3">
        <v>135.279</v>
      </c>
      <c r="G39" s="3">
        <v>59.721000000000004</v>
      </c>
      <c r="I39" s="1">
        <v>-210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P39" s="2" t="s">
        <v>22</v>
      </c>
      <c r="Q39" s="2">
        <f t="shared" si="3"/>
        <v>268.25633333333332</v>
      </c>
      <c r="R39" s="2">
        <f>AVERAGE(B40,B32,B48)</f>
        <v>269.34216666666669</v>
      </c>
      <c r="S39" s="2">
        <f t="shared" si="4"/>
        <v>0.37158263325043867</v>
      </c>
      <c r="T39" s="2">
        <f>SQRT(SUMSQ(B32-R39,B40-R39,B48-R39)/2)</f>
        <v>0.5396147545548865</v>
      </c>
      <c r="U39" s="2"/>
      <c r="V39" s="2">
        <f t="shared" si="1"/>
        <v>-1.085833333333369</v>
      </c>
    </row>
    <row r="40" spans="2:23" x14ac:dyDescent="0.25">
      <c r="B40" s="3">
        <v>269.57650000000001</v>
      </c>
      <c r="C40" s="3">
        <v>3.1013999999999999</v>
      </c>
      <c r="D40" s="3">
        <v>-11.72740000000001</v>
      </c>
      <c r="E40" s="3">
        <v>-9.4062000000000001</v>
      </c>
      <c r="F40" s="3">
        <v>105.2988</v>
      </c>
      <c r="G40" s="3">
        <v>42.218999999999994</v>
      </c>
      <c r="I40" s="1">
        <v>-160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P40" s="2" t="s">
        <v>23</v>
      </c>
      <c r="Q40" s="2">
        <f t="shared" si="3"/>
        <v>351.53919999999965</v>
      </c>
      <c r="R40" s="2">
        <f>AVERAGE(B39,B31,B47)</f>
        <v>351.53919999999965</v>
      </c>
      <c r="S40" s="2">
        <f t="shared" si="4"/>
        <v>1.3180906645593338</v>
      </c>
      <c r="T40" s="2">
        <f>SQRT(SUMSQ(B31-R40,B39-R40,B47-R40)/2)</f>
        <v>1.3180906645593338</v>
      </c>
      <c r="U40" s="2"/>
      <c r="V40" s="2">
        <f t="shared" si="1"/>
        <v>0</v>
      </c>
    </row>
    <row r="41" spans="2:23" x14ac:dyDescent="0.25">
      <c r="B41" s="3">
        <v>185.31960000000001</v>
      </c>
      <c r="C41" s="3">
        <v>2.04659999999999</v>
      </c>
      <c r="D41" s="3">
        <v>-8.3407999999999092</v>
      </c>
      <c r="E41" s="3">
        <v>-5.8920000000001007</v>
      </c>
      <c r="F41" s="3">
        <v>72.966800000000006</v>
      </c>
      <c r="G41" s="3">
        <v>17.816000000000003</v>
      </c>
      <c r="I41" s="1">
        <v>-110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P41" s="2"/>
      <c r="Q41" s="2"/>
      <c r="R41" s="2"/>
      <c r="S41" s="2"/>
      <c r="T41" s="2">
        <f>2*MAX(U31,U36)/210</f>
        <v>6.8915341472321227E-3</v>
      </c>
      <c r="U41" s="2">
        <f>2*T41/210</f>
        <v>6.5633658545067829E-5</v>
      </c>
      <c r="W41">
        <f>MAX(V31:V40)/210</f>
        <v>1.0974603174602748E-2</v>
      </c>
    </row>
    <row r="42" spans="2:23" x14ac:dyDescent="0.25">
      <c r="B42" s="3">
        <v>101.9208</v>
      </c>
      <c r="C42" s="3">
        <v>0.40060000000000073</v>
      </c>
      <c r="D42" s="3">
        <v>-5.5066000000000095</v>
      </c>
      <c r="E42" s="3">
        <v>-2.4727999999999994</v>
      </c>
      <c r="F42" s="3">
        <v>40.3629999999999</v>
      </c>
      <c r="G42" s="3">
        <v>-7.679000000000002</v>
      </c>
      <c r="I42" s="1">
        <v>-60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P42" s="2"/>
      <c r="Q42" s="2"/>
      <c r="R42" s="2"/>
      <c r="S42" s="2"/>
      <c r="T42" s="2"/>
      <c r="U42" s="2"/>
    </row>
    <row r="43" spans="2:23" x14ac:dyDescent="0.25">
      <c r="B43" s="3">
        <v>0.21959999999999999</v>
      </c>
      <c r="C43" s="3">
        <v>-0.68659999999999988</v>
      </c>
      <c r="D43" s="3">
        <v>-2.5605999999999991</v>
      </c>
      <c r="E43" s="3">
        <v>0.50259999999989802</v>
      </c>
      <c r="F43" s="3">
        <v>0.89179999999999993</v>
      </c>
      <c r="G43" s="3">
        <v>-6.2848000000009847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P43" s="2"/>
      <c r="Q43" s="2"/>
      <c r="R43" s="2"/>
      <c r="S43" s="2"/>
      <c r="T43" s="2"/>
      <c r="U43" s="2"/>
    </row>
    <row r="44" spans="2:23" x14ac:dyDescent="0.25">
      <c r="B44" s="3">
        <v>100.2782</v>
      </c>
      <c r="C44" s="3">
        <v>0.93660000000000032</v>
      </c>
      <c r="D44" s="3">
        <v>-6.3552000000000088</v>
      </c>
      <c r="E44" s="3">
        <v>-3.2312000000000012</v>
      </c>
      <c r="F44" s="3">
        <v>38.657199999999904</v>
      </c>
      <c r="G44" s="3">
        <v>3.8300000000000125</v>
      </c>
      <c r="I44" s="1">
        <v>-60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P44" s="2" t="s">
        <v>30</v>
      </c>
      <c r="Q44" s="2"/>
      <c r="R44" s="2"/>
      <c r="S44" s="2"/>
      <c r="T44" s="2"/>
      <c r="U44" s="2"/>
    </row>
    <row r="45" spans="2:23" x14ac:dyDescent="0.25">
      <c r="B45" s="3">
        <v>183.542</v>
      </c>
      <c r="C45" s="3">
        <v>2.2564000000000002</v>
      </c>
      <c r="D45" s="3">
        <v>-10.473600000000008</v>
      </c>
      <c r="E45" s="3">
        <v>-6.3372000000000011</v>
      </c>
      <c r="F45" s="3">
        <v>70.7256</v>
      </c>
      <c r="G45" s="3">
        <v>28.530599999999993</v>
      </c>
      <c r="I45" s="1">
        <v>-110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P45" s="2" t="s">
        <v>31</v>
      </c>
      <c r="Q45" s="2"/>
      <c r="R45" s="2"/>
      <c r="S45" s="2"/>
      <c r="T45" s="2"/>
      <c r="U45" s="2"/>
    </row>
    <row r="46" spans="2:23" x14ac:dyDescent="0.25">
      <c r="B46" s="3">
        <v>268.04179999999997</v>
      </c>
      <c r="C46" s="3">
        <v>3.9021999999999997</v>
      </c>
      <c r="D46" s="3">
        <v>-13.632000000000009</v>
      </c>
      <c r="E46" s="3">
        <v>-9.68</v>
      </c>
      <c r="F46" s="3">
        <v>103.3124</v>
      </c>
      <c r="G46" s="3">
        <v>44.361800000000017</v>
      </c>
      <c r="I46" s="1">
        <v>-160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P46" s="5" t="s">
        <v>32</v>
      </c>
      <c r="Q46" s="5" t="s">
        <v>33</v>
      </c>
      <c r="R46" s="5" t="s">
        <v>34</v>
      </c>
      <c r="S46" s="5" t="s">
        <v>35</v>
      </c>
      <c r="T46" s="5" t="s">
        <v>36</v>
      </c>
      <c r="U46" s="6" t="s">
        <v>37</v>
      </c>
      <c r="V46" s="6" t="s">
        <v>38</v>
      </c>
    </row>
    <row r="47" spans="2:23" x14ac:dyDescent="0.25">
      <c r="B47" s="3">
        <v>350.77819999999997</v>
      </c>
      <c r="C47" s="3">
        <v>5.0984000000000007</v>
      </c>
      <c r="D47" s="3">
        <v>-16.02940000000001</v>
      </c>
      <c r="E47" s="3">
        <v>-12.87840000000001</v>
      </c>
      <c r="F47" s="3">
        <v>135.279</v>
      </c>
      <c r="G47" s="3">
        <v>59.721000000000004</v>
      </c>
      <c r="I47" s="1">
        <v>-210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P47" s="2">
        <f>AVERAGE(B2,B10,B18,B26)</f>
        <v>0.33044999999992575</v>
      </c>
      <c r="Q47" s="6">
        <v>0</v>
      </c>
      <c r="R47" s="2">
        <v>0</v>
      </c>
      <c r="S47" s="2">
        <f>(COUNT(B2:B51)*R50-SUM(B2:B51)*R47)/(COUNT(B2:B51)*SUMSQ(B2:B51)-SUM(B2:B51)*SUM(B2:B51))</f>
        <v>-0.59938739252857309</v>
      </c>
      <c r="T47" s="2">
        <f>(SUMSQ(B2:B51)*R47-SUM(B2:B51)*R50)/(COUNT(B2:B51)*SUMSQ(B2:B51)-SUM(B2:B51)*SUM(B2:B51))</f>
        <v>0.66540272116683719</v>
      </c>
      <c r="U47" s="2">
        <f>S$47*P47+T$47</f>
        <v>0.46733515730581471</v>
      </c>
      <c r="V47" s="2">
        <f>Q47-U47</f>
        <v>-0.46733515730581471</v>
      </c>
    </row>
    <row r="48" spans="2:23" x14ac:dyDescent="0.25">
      <c r="B48" s="3">
        <v>269.72500000000002</v>
      </c>
      <c r="C48" s="3">
        <v>3.1013999999999999</v>
      </c>
      <c r="D48" s="3">
        <v>-11.72740000000001</v>
      </c>
      <c r="E48" s="3">
        <v>-9.4062000000000001</v>
      </c>
      <c r="F48" s="3">
        <v>105.2988</v>
      </c>
      <c r="G48" s="3">
        <v>42.218999999999994</v>
      </c>
      <c r="I48" s="1">
        <v>-160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P48" s="2">
        <f>AVERAGE(B3,B9,B11,B17,B19,B25)</f>
        <v>-99.830033333333404</v>
      </c>
      <c r="Q48" s="6">
        <v>60</v>
      </c>
      <c r="R48" s="2"/>
      <c r="S48" s="2"/>
      <c r="T48" s="2"/>
      <c r="U48" s="2">
        <f t="shared" ref="U48:U56" si="5">S$47*P48+T$47</f>
        <v>60.502266096874081</v>
      </c>
      <c r="V48" s="2">
        <f t="shared" ref="V48:V56" si="6">Q48-U48</f>
        <v>-0.50226609687408086</v>
      </c>
    </row>
    <row r="49" spans="1:22" x14ac:dyDescent="0.25">
      <c r="B49" s="3">
        <v>185.9196</v>
      </c>
      <c r="C49" s="3">
        <v>2.04659999999999</v>
      </c>
      <c r="D49" s="3">
        <v>-8.3407999999999092</v>
      </c>
      <c r="E49" s="3">
        <v>-5.8920000000001007</v>
      </c>
      <c r="F49" s="3">
        <v>72.966800000000006</v>
      </c>
      <c r="G49" s="3">
        <v>17.816000000000003</v>
      </c>
      <c r="I49" s="1">
        <v>-110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P49" s="2">
        <f>AVERAGE(B4,B8,B12,B16,B20,B24)</f>
        <v>-182.86693333333338</v>
      </c>
      <c r="Q49" s="6">
        <v>110</v>
      </c>
      <c r="R49" s="6" t="s">
        <v>39</v>
      </c>
      <c r="S49" s="2"/>
      <c r="T49" s="2"/>
      <c r="U49" s="2">
        <f t="shared" si="5"/>
        <v>110.27353707152994</v>
      </c>
      <c r="V49" s="2">
        <f t="shared" si="6"/>
        <v>-0.27353707152994389</v>
      </c>
    </row>
    <row r="50" spans="1:22" x14ac:dyDescent="0.25">
      <c r="B50" s="3">
        <v>101.66079999999999</v>
      </c>
      <c r="C50" s="3">
        <v>0.40060000000000073</v>
      </c>
      <c r="D50" s="3">
        <v>-5.5066000000000095</v>
      </c>
      <c r="E50" s="3">
        <v>-2.4727999999999994</v>
      </c>
      <c r="F50" s="3">
        <v>40.3629999999999</v>
      </c>
      <c r="G50" s="3">
        <v>-7.679000000000002</v>
      </c>
      <c r="I50" s="1">
        <v>-60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P50" s="2">
        <f>AVERAGE(B5,B7,B13,B15,B21,B23)</f>
        <v>-265.59046666666671</v>
      </c>
      <c r="Q50" s="6">
        <v>160</v>
      </c>
      <c r="R50" s="2">
        <f>SUMPRODUCT(B2:B51,I2:I51)</f>
        <v>-1268249.54</v>
      </c>
      <c r="S50" s="2"/>
      <c r="T50" s="2"/>
      <c r="U50" s="2">
        <f t="shared" si="5"/>
        <v>159.85698001694709</v>
      </c>
      <c r="V50" s="2">
        <f t="shared" si="6"/>
        <v>0.14301998305290908</v>
      </c>
    </row>
    <row r="51" spans="1:22" x14ac:dyDescent="0.25">
      <c r="B51" s="3">
        <v>0.30959999999999999</v>
      </c>
      <c r="C51" s="3">
        <v>-0.68659999999999988</v>
      </c>
      <c r="D51" s="3">
        <v>-2.5605999999999991</v>
      </c>
      <c r="E51" s="3">
        <v>0.50259999999989802</v>
      </c>
      <c r="F51" s="3">
        <v>0.89179999999999993</v>
      </c>
      <c r="G51" s="3">
        <v>-6.2848000000009847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P51" s="2">
        <f>AVERAGE(B6,B14,B22)</f>
        <v>-347.02000000000004</v>
      </c>
      <c r="Q51" s="6">
        <v>210</v>
      </c>
      <c r="R51" s="2"/>
      <c r="S51" s="2"/>
      <c r="T51" s="2"/>
      <c r="U51" s="2">
        <f t="shared" si="5"/>
        <v>208.66481567643228</v>
      </c>
      <c r="V51" s="2">
        <f t="shared" si="6"/>
        <v>1.3351843235677165</v>
      </c>
    </row>
    <row r="52" spans="1:22" x14ac:dyDescent="0.25">
      <c r="A52">
        <v>1</v>
      </c>
      <c r="B52" s="3">
        <v>0</v>
      </c>
      <c r="C52" s="3">
        <v>0</v>
      </c>
      <c r="D52" s="3">
        <v>0</v>
      </c>
      <c r="E52" s="3">
        <v>0</v>
      </c>
      <c r="F52" s="3">
        <v>0</v>
      </c>
      <c r="G52" s="3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P52" s="2">
        <f>AVERAGE(B27,B35,B43,B51)</f>
        <v>0.19219999999999998</v>
      </c>
      <c r="Q52" s="6">
        <v>0</v>
      </c>
      <c r="R52" s="2"/>
      <c r="S52" s="2"/>
      <c r="T52" s="2"/>
      <c r="U52" s="2">
        <f t="shared" si="5"/>
        <v>0.55020046432284542</v>
      </c>
      <c r="V52" s="2">
        <f t="shared" si="6"/>
        <v>-0.55020046432284542</v>
      </c>
    </row>
    <row r="53" spans="1:22" x14ac:dyDescent="0.25">
      <c r="B53" s="3">
        <v>-2.9428000000000019</v>
      </c>
      <c r="C53" s="3">
        <v>-102.4914</v>
      </c>
      <c r="D53" s="3">
        <v>5.4723999999998991</v>
      </c>
      <c r="E53" s="3">
        <v>37.598199999999906</v>
      </c>
      <c r="F53" s="3">
        <v>1.5162000000000102</v>
      </c>
      <c r="G53" s="3">
        <v>16.147599999999983</v>
      </c>
      <c r="I53" s="1">
        <v>0</v>
      </c>
      <c r="J53" s="1">
        <v>60</v>
      </c>
      <c r="K53" s="1">
        <v>0</v>
      </c>
      <c r="L53" s="1">
        <v>0</v>
      </c>
      <c r="M53" s="1">
        <v>0</v>
      </c>
      <c r="N53" s="1">
        <v>0</v>
      </c>
      <c r="P53" s="2">
        <f>AVERAGE(B28,B34,B36,B42,B44,B50)</f>
        <v>101.11509999999998</v>
      </c>
      <c r="Q53" s="6">
        <v>-60</v>
      </c>
      <c r="R53" s="2"/>
      <c r="S53" s="2"/>
      <c r="T53" s="2"/>
      <c r="U53" s="2">
        <f t="shared" si="5"/>
        <v>-59.941713413099073</v>
      </c>
      <c r="V53" s="2">
        <f t="shared" si="6"/>
        <v>-5.8286586900926807E-2</v>
      </c>
    </row>
    <row r="54" spans="1:22" x14ac:dyDescent="0.25">
      <c r="B54" s="3">
        <v>-4.9713999999999992</v>
      </c>
      <c r="C54" s="3">
        <v>-188.50380000000001</v>
      </c>
      <c r="D54" s="3">
        <v>10.852199999999899</v>
      </c>
      <c r="E54" s="3">
        <v>69.335399999999993</v>
      </c>
      <c r="F54" s="3">
        <v>3.6620000000000008</v>
      </c>
      <c r="G54" s="3">
        <v>39.771600000000007</v>
      </c>
      <c r="I54" s="1">
        <v>0</v>
      </c>
      <c r="J54" s="1">
        <v>110</v>
      </c>
      <c r="K54" s="1">
        <v>0</v>
      </c>
      <c r="L54" s="1">
        <v>0</v>
      </c>
      <c r="M54" s="1">
        <v>0</v>
      </c>
      <c r="N54" s="1">
        <v>0</v>
      </c>
      <c r="P54" s="2">
        <f>AVERAGE(B29,B33,B37,B41,B45,B49)</f>
        <v>185.01620000000003</v>
      </c>
      <c r="Q54" s="6">
        <v>-110</v>
      </c>
      <c r="R54" s="2"/>
      <c r="S54" s="2"/>
      <c r="T54" s="2"/>
      <c r="U54" s="2">
        <f t="shared" si="5"/>
        <v>-110.23097497237816</v>
      </c>
      <c r="V54" s="2">
        <f t="shared" si="6"/>
        <v>0.23097497237816356</v>
      </c>
    </row>
    <row r="55" spans="1:22" x14ac:dyDescent="0.25">
      <c r="B55" s="3">
        <v>-7.0122</v>
      </c>
      <c r="C55" s="3">
        <v>-274.041</v>
      </c>
      <c r="D55" s="3">
        <v>14.974999999999898</v>
      </c>
      <c r="E55" s="3">
        <v>100.76299999999999</v>
      </c>
      <c r="F55" s="3">
        <v>5.5238000000000005</v>
      </c>
      <c r="G55" s="3">
        <v>56.484999999999985</v>
      </c>
      <c r="I55" s="1">
        <v>0</v>
      </c>
      <c r="J55" s="1">
        <v>160</v>
      </c>
      <c r="K55" s="1">
        <v>0</v>
      </c>
      <c r="L55" s="1">
        <v>0</v>
      </c>
      <c r="M55" s="1">
        <v>0</v>
      </c>
      <c r="N55" s="1">
        <v>0</v>
      </c>
      <c r="P55" s="2">
        <f>AVERAGE(B30,B32,B38,B40,B46,B48)</f>
        <v>268.79924999999997</v>
      </c>
      <c r="Q55" s="6">
        <v>-160</v>
      </c>
      <c r="R55" s="2"/>
      <c r="S55" s="2"/>
      <c r="T55" s="2"/>
      <c r="U55" s="2">
        <f t="shared" si="5"/>
        <v>-160.44947884996921</v>
      </c>
      <c r="V55" s="2">
        <f t="shared" si="6"/>
        <v>0.44947884996921061</v>
      </c>
    </row>
    <row r="56" spans="1:22" x14ac:dyDescent="0.25">
      <c r="B56" s="3">
        <v>-9.0245999999999995</v>
      </c>
      <c r="C56" s="3">
        <v>-359.11079999999998</v>
      </c>
      <c r="D56" s="3">
        <v>20.120999999999899</v>
      </c>
      <c r="E56" s="3">
        <v>132.08320000000001</v>
      </c>
      <c r="F56" s="3">
        <v>7.2802000000000007</v>
      </c>
      <c r="G56" s="3">
        <v>71.607599999999991</v>
      </c>
      <c r="I56" s="1">
        <v>0</v>
      </c>
      <c r="J56" s="1">
        <v>210</v>
      </c>
      <c r="K56" s="1">
        <v>0</v>
      </c>
      <c r="L56" s="1">
        <v>0</v>
      </c>
      <c r="M56" s="1">
        <v>0</v>
      </c>
      <c r="N56" s="1">
        <v>0</v>
      </c>
      <c r="P56" s="2">
        <f>AVERAGE(B39,B47,B31)</f>
        <v>351.53919999999965</v>
      </c>
      <c r="Q56" s="6">
        <v>-210</v>
      </c>
      <c r="R56" s="2"/>
      <c r="S56" s="2"/>
      <c r="T56" s="2"/>
      <c r="U56" s="2">
        <f t="shared" si="5"/>
        <v>-210.04276173841353</v>
      </c>
      <c r="V56" s="2">
        <f t="shared" si="6"/>
        <v>4.2761738413531702E-2</v>
      </c>
    </row>
    <row r="57" spans="1:22" x14ac:dyDescent="0.25">
      <c r="B57" s="3">
        <v>-6.7661999999999018</v>
      </c>
      <c r="C57" s="3">
        <v>-275.2826</v>
      </c>
      <c r="D57" s="3">
        <v>14.868799999999899</v>
      </c>
      <c r="E57" s="3">
        <v>101.426999999999</v>
      </c>
      <c r="F57" s="3">
        <v>5.9328000000000003</v>
      </c>
      <c r="G57" s="3">
        <v>53.431399999999996</v>
      </c>
      <c r="I57" s="1">
        <v>0</v>
      </c>
      <c r="J57" s="1">
        <v>160</v>
      </c>
      <c r="K57" s="1">
        <v>0</v>
      </c>
      <c r="L57" s="1">
        <v>0</v>
      </c>
      <c r="M57" s="1">
        <v>0</v>
      </c>
      <c r="N57" s="1">
        <v>0</v>
      </c>
      <c r="P57" s="7"/>
      <c r="Q57" s="7" t="s">
        <v>40</v>
      </c>
      <c r="R57" s="2"/>
      <c r="S57" s="2"/>
      <c r="T57" s="2"/>
      <c r="U57" s="2"/>
      <c r="V57" s="2" cm="1">
        <f t="array" ref="V57">MAX(ABS(V47:V56))/210</f>
        <v>6.3580205884176981E-3</v>
      </c>
    </row>
    <row r="58" spans="1:22" x14ac:dyDescent="0.25">
      <c r="B58" s="3">
        <v>-4.789200000000001</v>
      </c>
      <c r="C58" s="3">
        <v>-190.09539999999902</v>
      </c>
      <c r="D58" s="3">
        <v>9.3071999999998987</v>
      </c>
      <c r="E58" s="3">
        <v>70.707799999999992</v>
      </c>
      <c r="F58" s="3">
        <v>3.8374000000000006</v>
      </c>
      <c r="G58" s="3">
        <v>28.100599999999986</v>
      </c>
      <c r="I58" s="1">
        <v>0</v>
      </c>
      <c r="J58" s="1">
        <v>110</v>
      </c>
      <c r="K58" s="1">
        <v>0</v>
      </c>
      <c r="L58" s="1">
        <v>0</v>
      </c>
      <c r="M58" s="1">
        <v>0</v>
      </c>
      <c r="N58" s="1">
        <v>0</v>
      </c>
      <c r="P58" s="7" t="s">
        <v>41</v>
      </c>
      <c r="Q58" s="8">
        <f>T41*100</f>
        <v>0.68915341472321223</v>
      </c>
      <c r="R58" s="2"/>
      <c r="S58" s="2"/>
      <c r="T58" s="2"/>
      <c r="U58" s="2"/>
    </row>
    <row r="59" spans="1:22" x14ac:dyDescent="0.25">
      <c r="B59" s="3">
        <v>-2.7940000000000005</v>
      </c>
      <c r="C59" s="3">
        <v>-104.0038</v>
      </c>
      <c r="D59" s="3">
        <v>4.5309999999998993</v>
      </c>
      <c r="E59" s="3">
        <v>38.911599999999993</v>
      </c>
      <c r="F59" s="3">
        <v>1.8280000000000012</v>
      </c>
      <c r="G59" s="3">
        <v>-1.5776000000000181</v>
      </c>
      <c r="I59" s="1">
        <v>0</v>
      </c>
      <c r="J59" s="1">
        <v>60</v>
      </c>
      <c r="K59" s="1">
        <v>0</v>
      </c>
      <c r="L59" s="1">
        <v>0</v>
      </c>
      <c r="M59" s="1">
        <v>0</v>
      </c>
      <c r="N59" s="1">
        <v>0</v>
      </c>
      <c r="P59" s="7" t="s">
        <v>42</v>
      </c>
      <c r="Q59" s="8">
        <f>W41*100</f>
        <v>1.0974603174602748</v>
      </c>
      <c r="R59" s="2"/>
      <c r="S59" s="2"/>
      <c r="T59" s="2"/>
      <c r="U59" s="2"/>
    </row>
    <row r="60" spans="1:22" x14ac:dyDescent="0.25">
      <c r="B60" s="3">
        <v>-9.1999999999998749E-3</v>
      </c>
      <c r="C60" s="3">
        <v>2.1400000000000308E-2</v>
      </c>
      <c r="D60" s="3">
        <v>-1.3180000000001009</v>
      </c>
      <c r="E60" s="3">
        <v>0.19079999999999941</v>
      </c>
      <c r="F60" s="3">
        <v>0.53120000000000012</v>
      </c>
      <c r="G60" s="3">
        <v>0.59499999999999886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P60" s="7" t="s">
        <v>43</v>
      </c>
      <c r="Q60" s="8">
        <f>V57*100</f>
        <v>0.63580205884176977</v>
      </c>
      <c r="R60" s="2"/>
      <c r="S60" s="2"/>
      <c r="T60" s="2"/>
      <c r="U60" s="2"/>
    </row>
    <row r="61" spans="1:22" x14ac:dyDescent="0.25">
      <c r="B61" s="3">
        <v>-2.6508000000000003</v>
      </c>
      <c r="C61" s="3">
        <v>-103.303</v>
      </c>
      <c r="D61" s="3">
        <v>4.5805999999998992</v>
      </c>
      <c r="E61" s="3">
        <v>38.215400000000002</v>
      </c>
      <c r="F61" s="3">
        <v>2.4841999999999995</v>
      </c>
      <c r="G61" s="3">
        <v>22.060799999999006</v>
      </c>
      <c r="I61" s="1">
        <v>0</v>
      </c>
      <c r="J61" s="1">
        <v>60</v>
      </c>
      <c r="K61" s="1">
        <v>0</v>
      </c>
      <c r="L61" s="1">
        <v>0</v>
      </c>
      <c r="M61" s="1">
        <v>0</v>
      </c>
      <c r="N61" s="1">
        <v>0</v>
      </c>
      <c r="P61" s="2"/>
      <c r="Q61" s="2"/>
      <c r="R61" s="2"/>
      <c r="S61" s="2"/>
      <c r="T61" s="2"/>
      <c r="U61" s="2"/>
    </row>
    <row r="62" spans="1:22" x14ac:dyDescent="0.25">
      <c r="B62" s="3">
        <v>-4.367799999999999</v>
      </c>
      <c r="C62" s="3">
        <v>-189.58419999999902</v>
      </c>
      <c r="D62" s="3">
        <v>9.1037999999999002</v>
      </c>
      <c r="E62" s="3">
        <v>70.758200000000002</v>
      </c>
      <c r="F62" s="3">
        <v>4.2926000000000002</v>
      </c>
      <c r="G62" s="3">
        <v>45.969599999999986</v>
      </c>
      <c r="I62" s="1">
        <v>0</v>
      </c>
      <c r="J62" s="1">
        <v>110</v>
      </c>
      <c r="K62" s="1">
        <v>0</v>
      </c>
      <c r="L62" s="1">
        <v>0</v>
      </c>
      <c r="M62" s="1">
        <v>0</v>
      </c>
      <c r="N62" s="1">
        <v>0</v>
      </c>
      <c r="P62" s="2"/>
      <c r="Q62" s="2"/>
      <c r="R62" s="2"/>
      <c r="S62" s="2"/>
      <c r="T62" s="2"/>
      <c r="U62" s="2"/>
    </row>
    <row r="63" spans="1:22" x14ac:dyDescent="0.25">
      <c r="B63" s="3">
        <v>-6.4245999999998986</v>
      </c>
      <c r="C63" s="3">
        <v>-274.863</v>
      </c>
      <c r="D63" s="3">
        <v>13.804599999999889</v>
      </c>
      <c r="E63" s="3">
        <v>102.29379999999999</v>
      </c>
      <c r="F63" s="3">
        <v>6.0236000000000107</v>
      </c>
      <c r="G63" s="3">
        <v>65.8322</v>
      </c>
      <c r="I63" s="1">
        <v>0</v>
      </c>
      <c r="J63" s="1">
        <v>160</v>
      </c>
      <c r="K63" s="1">
        <v>0</v>
      </c>
      <c r="L63" s="1">
        <v>0</v>
      </c>
      <c r="M63" s="1">
        <v>0</v>
      </c>
      <c r="N63" s="1">
        <v>0</v>
      </c>
      <c r="P63" s="2"/>
      <c r="Q63" s="2"/>
      <c r="R63" s="2"/>
      <c r="S63" s="2"/>
      <c r="T63" s="2"/>
      <c r="U63" s="2"/>
    </row>
    <row r="64" spans="1:22" x14ac:dyDescent="0.25">
      <c r="B64" s="3">
        <v>-8.1966000000000001</v>
      </c>
      <c r="C64" s="3">
        <v>-360.89920000000001</v>
      </c>
      <c r="D64" s="3">
        <v>18.322399999999888</v>
      </c>
      <c r="E64" s="3">
        <v>133.3288</v>
      </c>
      <c r="F64" s="3">
        <v>8.2058</v>
      </c>
      <c r="G64" s="3">
        <v>83.819799999999987</v>
      </c>
      <c r="I64" s="1">
        <v>0</v>
      </c>
      <c r="J64" s="1">
        <v>210</v>
      </c>
      <c r="K64" s="1">
        <v>0</v>
      </c>
      <c r="L64" s="1">
        <v>0</v>
      </c>
      <c r="M64" s="1">
        <v>0</v>
      </c>
      <c r="N64" s="1">
        <v>0</v>
      </c>
      <c r="P64" s="2"/>
      <c r="Q64" s="2"/>
      <c r="R64" s="2"/>
      <c r="S64" s="2"/>
      <c r="T64" s="2"/>
      <c r="U64" s="2"/>
    </row>
    <row r="65" spans="1:21" x14ac:dyDescent="0.25">
      <c r="B65" s="3">
        <v>-6.7661999999999018</v>
      </c>
      <c r="C65" s="3">
        <v>-275.2826</v>
      </c>
      <c r="D65" s="3">
        <v>14.868799999999899</v>
      </c>
      <c r="E65" s="3">
        <v>101.426999999999</v>
      </c>
      <c r="F65" s="3">
        <v>5.9328000000000003</v>
      </c>
      <c r="G65" s="3">
        <v>53.431399999999996</v>
      </c>
      <c r="I65" s="1">
        <v>0</v>
      </c>
      <c r="J65" s="1">
        <v>160</v>
      </c>
      <c r="K65" s="1">
        <v>0</v>
      </c>
      <c r="L65" s="1">
        <v>0</v>
      </c>
      <c r="M65" s="1">
        <v>0</v>
      </c>
      <c r="N65" s="1">
        <v>0</v>
      </c>
      <c r="P65" s="2"/>
      <c r="Q65" s="2"/>
      <c r="R65" s="2"/>
      <c r="S65" s="2"/>
      <c r="T65" s="2"/>
      <c r="U65" s="2"/>
    </row>
    <row r="66" spans="1:21" x14ac:dyDescent="0.25">
      <c r="B66" s="3">
        <v>-4.789200000000001</v>
      </c>
      <c r="C66" s="3">
        <v>-190.09539999999902</v>
      </c>
      <c r="D66" s="3">
        <v>9.3071999999998987</v>
      </c>
      <c r="E66" s="3">
        <v>70.707799999999992</v>
      </c>
      <c r="F66" s="3">
        <v>3.8374000000000006</v>
      </c>
      <c r="G66" s="3">
        <v>28.100599999999986</v>
      </c>
      <c r="I66" s="1">
        <v>0</v>
      </c>
      <c r="J66" s="1">
        <v>110</v>
      </c>
      <c r="K66" s="1">
        <v>0</v>
      </c>
      <c r="L66" s="1">
        <v>0</v>
      </c>
      <c r="M66" s="1">
        <v>0</v>
      </c>
      <c r="N66" s="1">
        <v>0</v>
      </c>
      <c r="P66" s="2"/>
      <c r="Q66" s="2"/>
      <c r="R66" s="2"/>
      <c r="S66" s="2"/>
      <c r="T66" s="2"/>
      <c r="U66" s="2"/>
    </row>
    <row r="67" spans="1:21" x14ac:dyDescent="0.25">
      <c r="B67" s="3">
        <v>-2.7940000000000005</v>
      </c>
      <c r="C67" s="3">
        <v>-104.0038</v>
      </c>
      <c r="D67" s="3">
        <v>4.5309999999998993</v>
      </c>
      <c r="E67" s="3">
        <v>38.911599999999993</v>
      </c>
      <c r="F67" s="3">
        <v>1.8280000000000012</v>
      </c>
      <c r="G67" s="3">
        <v>-1.5776000000000181</v>
      </c>
      <c r="I67" s="1">
        <v>0</v>
      </c>
      <c r="J67" s="1">
        <v>60</v>
      </c>
      <c r="K67" s="1">
        <v>0</v>
      </c>
      <c r="L67" s="1">
        <v>0</v>
      </c>
      <c r="M67" s="1">
        <v>0</v>
      </c>
      <c r="N67" s="1">
        <v>0</v>
      </c>
      <c r="P67" s="2"/>
      <c r="Q67" s="2"/>
      <c r="R67" s="2"/>
      <c r="S67" s="2"/>
      <c r="T67" s="2"/>
      <c r="U67" s="2"/>
    </row>
    <row r="68" spans="1:21" x14ac:dyDescent="0.25">
      <c r="B68" s="3">
        <v>-9.1999999999998749E-3</v>
      </c>
      <c r="C68" s="3">
        <v>2.1400000000000308E-2</v>
      </c>
      <c r="D68" s="3">
        <v>-1.3180000000001009</v>
      </c>
      <c r="E68" s="3">
        <v>0.19079999999999941</v>
      </c>
      <c r="F68" s="3">
        <v>0.53120000000000012</v>
      </c>
      <c r="G68" s="3">
        <v>0.59499999999999886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P68" s="2"/>
      <c r="Q68" s="2"/>
      <c r="R68" s="2"/>
      <c r="S68" s="2"/>
      <c r="T68" s="2"/>
      <c r="U68" s="2"/>
    </row>
    <row r="69" spans="1:21" x14ac:dyDescent="0.25">
      <c r="B69" s="3">
        <v>-2.9428000000000019</v>
      </c>
      <c r="C69" s="3">
        <v>-102.4914</v>
      </c>
      <c r="D69" s="3">
        <v>5.4723999999998991</v>
      </c>
      <c r="E69" s="3">
        <v>37.598199999999906</v>
      </c>
      <c r="F69" s="3">
        <v>1.5162000000000102</v>
      </c>
      <c r="G69" s="3">
        <v>16.147599999999983</v>
      </c>
      <c r="I69" s="1">
        <v>0</v>
      </c>
      <c r="J69" s="1">
        <v>60</v>
      </c>
      <c r="K69" s="1">
        <v>0</v>
      </c>
      <c r="L69" s="1">
        <v>0</v>
      </c>
      <c r="M69" s="1">
        <v>0</v>
      </c>
      <c r="N69" s="1">
        <v>0</v>
      </c>
      <c r="P69" s="2"/>
      <c r="Q69" s="2"/>
      <c r="R69" s="2"/>
      <c r="S69" s="2"/>
      <c r="T69" s="2"/>
      <c r="U69" s="2"/>
    </row>
    <row r="70" spans="1:21" x14ac:dyDescent="0.25">
      <c r="B70" s="3">
        <v>-4.9713999999999992</v>
      </c>
      <c r="C70" s="3">
        <v>-188.50380000000001</v>
      </c>
      <c r="D70" s="3">
        <v>10.852199999999899</v>
      </c>
      <c r="E70" s="3">
        <v>69.335399999999993</v>
      </c>
      <c r="F70" s="3">
        <v>3.6620000000000008</v>
      </c>
      <c r="G70" s="3">
        <v>39.771600000000007</v>
      </c>
      <c r="I70" s="1">
        <v>0</v>
      </c>
      <c r="J70" s="1">
        <v>110</v>
      </c>
      <c r="K70" s="1">
        <v>0</v>
      </c>
      <c r="L70" s="1">
        <v>0</v>
      </c>
      <c r="M70" s="1">
        <v>0</v>
      </c>
      <c r="N70" s="1">
        <v>0</v>
      </c>
      <c r="P70" s="2"/>
      <c r="Q70" s="2"/>
      <c r="R70" s="2"/>
      <c r="S70" s="2"/>
      <c r="T70" s="2"/>
      <c r="U70" s="2"/>
    </row>
    <row r="71" spans="1:21" x14ac:dyDescent="0.25">
      <c r="B71" s="3">
        <v>-7.0122</v>
      </c>
      <c r="C71" s="3">
        <v>-274.041</v>
      </c>
      <c r="D71" s="3">
        <v>14.974999999999898</v>
      </c>
      <c r="E71" s="3">
        <v>100.76299999999999</v>
      </c>
      <c r="F71" s="3">
        <v>5.5238000000000005</v>
      </c>
      <c r="G71" s="3">
        <v>56.484999999999985</v>
      </c>
      <c r="I71" s="1">
        <v>0</v>
      </c>
      <c r="J71" s="1">
        <v>160</v>
      </c>
      <c r="K71" s="1">
        <v>0</v>
      </c>
      <c r="L71" s="1">
        <v>0</v>
      </c>
      <c r="M71" s="1">
        <v>0</v>
      </c>
      <c r="N71" s="1">
        <v>0</v>
      </c>
      <c r="P71" s="2"/>
      <c r="Q71" s="2"/>
      <c r="R71" s="2"/>
      <c r="S71" s="2"/>
      <c r="T71" s="2"/>
      <c r="U71" s="2"/>
    </row>
    <row r="72" spans="1:21" x14ac:dyDescent="0.25">
      <c r="B72" s="3">
        <v>-9.0245999999999995</v>
      </c>
      <c r="C72" s="3">
        <v>-359.11079999999998</v>
      </c>
      <c r="D72" s="3">
        <v>20.120999999999899</v>
      </c>
      <c r="E72" s="3">
        <v>132.08320000000001</v>
      </c>
      <c r="F72" s="3">
        <v>7.2802000000000007</v>
      </c>
      <c r="G72" s="3">
        <v>71.607599999999991</v>
      </c>
      <c r="I72" s="1">
        <v>0</v>
      </c>
      <c r="J72" s="1">
        <v>210</v>
      </c>
      <c r="K72" s="1">
        <v>0</v>
      </c>
      <c r="L72" s="1">
        <v>0</v>
      </c>
      <c r="M72" s="1">
        <v>0</v>
      </c>
      <c r="N72" s="1">
        <v>0</v>
      </c>
      <c r="P72" s="2"/>
      <c r="Q72" s="2"/>
      <c r="R72" s="2"/>
      <c r="S72" s="2"/>
      <c r="T72" s="2"/>
      <c r="U72" s="2"/>
    </row>
    <row r="73" spans="1:21" x14ac:dyDescent="0.25">
      <c r="B73" s="3">
        <v>-6.7661999999999018</v>
      </c>
      <c r="C73" s="3">
        <v>-275.2826</v>
      </c>
      <c r="D73" s="3">
        <v>14.868799999999899</v>
      </c>
      <c r="E73" s="3">
        <v>101.426999999999</v>
      </c>
      <c r="F73" s="3">
        <v>5.9328000000000003</v>
      </c>
      <c r="G73" s="3">
        <v>53.431399999999996</v>
      </c>
      <c r="I73" s="1">
        <v>0</v>
      </c>
      <c r="J73" s="1">
        <v>160</v>
      </c>
      <c r="K73" s="1">
        <v>0</v>
      </c>
      <c r="L73" s="1">
        <v>0</v>
      </c>
      <c r="M73" s="1">
        <v>0</v>
      </c>
      <c r="N73" s="1">
        <v>0</v>
      </c>
      <c r="P73" s="2"/>
      <c r="Q73" s="2"/>
      <c r="R73" s="2"/>
      <c r="S73" s="2"/>
      <c r="T73" s="2"/>
      <c r="U73" s="2"/>
    </row>
    <row r="74" spans="1:21" x14ac:dyDescent="0.25">
      <c r="B74" s="3">
        <v>-4.789200000000001</v>
      </c>
      <c r="C74" s="3">
        <v>-190.09539999999902</v>
      </c>
      <c r="D74" s="3">
        <v>9.3071999999998987</v>
      </c>
      <c r="E74" s="3">
        <v>70.707799999999992</v>
      </c>
      <c r="F74" s="3">
        <v>3.8374000000000006</v>
      </c>
      <c r="G74" s="3">
        <v>28.100599999999986</v>
      </c>
      <c r="I74" s="1">
        <v>0</v>
      </c>
      <c r="J74" s="1">
        <v>110</v>
      </c>
      <c r="K74" s="1">
        <v>0</v>
      </c>
      <c r="L74" s="1">
        <v>0</v>
      </c>
      <c r="M74" s="1">
        <v>0</v>
      </c>
      <c r="N74" s="1">
        <v>0</v>
      </c>
      <c r="P74" s="2"/>
      <c r="Q74" s="2"/>
      <c r="R74" s="2"/>
      <c r="S74" s="2"/>
      <c r="T74" s="2"/>
      <c r="U74" s="2"/>
    </row>
    <row r="75" spans="1:21" x14ac:dyDescent="0.25">
      <c r="B75" s="3">
        <v>-2.7940000000000005</v>
      </c>
      <c r="C75" s="3">
        <v>-104.0038</v>
      </c>
      <c r="D75" s="3">
        <v>4.5309999999998993</v>
      </c>
      <c r="E75" s="3">
        <v>38.911599999999993</v>
      </c>
      <c r="F75" s="3">
        <v>1.8280000000000012</v>
      </c>
      <c r="G75" s="3">
        <v>-1.5776000000000181</v>
      </c>
      <c r="I75" s="1">
        <v>0</v>
      </c>
      <c r="J75" s="1">
        <v>60</v>
      </c>
      <c r="K75" s="1">
        <v>0</v>
      </c>
      <c r="L75" s="1">
        <v>0</v>
      </c>
      <c r="M75" s="1">
        <v>0</v>
      </c>
      <c r="N75" s="1">
        <v>0</v>
      </c>
      <c r="P75" s="2"/>
      <c r="Q75" s="2"/>
      <c r="R75" s="2"/>
      <c r="S75" s="2"/>
      <c r="T75" s="2"/>
      <c r="U75" s="2"/>
    </row>
    <row r="76" spans="1:21" x14ac:dyDescent="0.25">
      <c r="B76" s="3">
        <v>-9.1999999999998749E-3</v>
      </c>
      <c r="C76" s="3">
        <v>2.1400000000000308E-2</v>
      </c>
      <c r="D76" s="3">
        <v>-1.3180000000001009</v>
      </c>
      <c r="E76" s="3">
        <v>0.19079999999999941</v>
      </c>
      <c r="F76" s="3">
        <v>0.53120000000000012</v>
      </c>
      <c r="G76" s="3">
        <v>0.59499999999999886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P76" s="2"/>
      <c r="Q76" s="2"/>
      <c r="R76" s="2"/>
      <c r="S76" s="2"/>
      <c r="T76" s="2"/>
      <c r="U76" s="2"/>
    </row>
    <row r="77" spans="1:21" x14ac:dyDescent="0.25">
      <c r="A77">
        <v>1</v>
      </c>
      <c r="B77" s="3">
        <v>0</v>
      </c>
      <c r="C77" s="3">
        <v>0</v>
      </c>
      <c r="D77" s="3">
        <v>0</v>
      </c>
      <c r="E77" s="3">
        <v>0</v>
      </c>
      <c r="F77" s="3">
        <v>0</v>
      </c>
      <c r="G77" s="3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P77" s="2"/>
      <c r="Q77" s="2"/>
      <c r="R77" s="2"/>
      <c r="S77" s="2"/>
      <c r="T77" s="2"/>
      <c r="U77" s="2"/>
    </row>
    <row r="78" spans="1:21" x14ac:dyDescent="0.25">
      <c r="B78" s="3">
        <v>5.5369999999998996</v>
      </c>
      <c r="C78" s="3">
        <v>101.4924</v>
      </c>
      <c r="D78" s="3">
        <v>-12.6562</v>
      </c>
      <c r="E78" s="3">
        <v>-35.5974</v>
      </c>
      <c r="F78" s="3">
        <v>0.18140000000000001</v>
      </c>
      <c r="G78" s="3">
        <v>30.007800000000998</v>
      </c>
      <c r="I78" s="1">
        <v>0</v>
      </c>
      <c r="J78" s="1">
        <v>-60</v>
      </c>
      <c r="K78" s="1">
        <v>0</v>
      </c>
      <c r="L78" s="1">
        <v>0</v>
      </c>
      <c r="M78" s="1">
        <v>0</v>
      </c>
      <c r="N78" s="1">
        <v>0</v>
      </c>
      <c r="P78" s="2"/>
      <c r="Q78" s="2"/>
      <c r="R78" s="2"/>
      <c r="S78" s="2"/>
      <c r="T78" s="2"/>
      <c r="U78" s="2"/>
    </row>
    <row r="79" spans="1:21" x14ac:dyDescent="0.25">
      <c r="B79" s="3">
        <v>7.6685999999999099</v>
      </c>
      <c r="C79" s="3">
        <v>186.68340000000001</v>
      </c>
      <c r="D79" s="3">
        <v>-18.800999999999902</v>
      </c>
      <c r="E79" s="3">
        <v>-66.617000000000004</v>
      </c>
      <c r="F79" s="3">
        <v>-1.5334000000000003</v>
      </c>
      <c r="G79" s="3">
        <v>45.598000000001008</v>
      </c>
      <c r="I79" s="1">
        <v>0</v>
      </c>
      <c r="J79" s="1">
        <v>-110</v>
      </c>
      <c r="K79" s="1">
        <v>0</v>
      </c>
      <c r="L79" s="1">
        <v>0</v>
      </c>
      <c r="M79" s="1">
        <v>0</v>
      </c>
      <c r="N79" s="1">
        <v>0</v>
      </c>
      <c r="P79" s="2"/>
      <c r="Q79" s="2"/>
      <c r="R79" s="2"/>
      <c r="S79" s="2"/>
      <c r="T79" s="2"/>
      <c r="U79" s="2"/>
    </row>
    <row r="80" spans="1:21" x14ac:dyDescent="0.25">
      <c r="B80" s="3">
        <v>9.3869999999998992</v>
      </c>
      <c r="C80" s="3">
        <v>270.9982</v>
      </c>
      <c r="D80" s="3">
        <v>-23.843199999999996</v>
      </c>
      <c r="E80" s="3">
        <v>-96.4114</v>
      </c>
      <c r="F80" s="3">
        <v>-3.0890000000000004</v>
      </c>
      <c r="G80" s="3">
        <v>54.787600000001021</v>
      </c>
      <c r="I80" s="1">
        <v>0</v>
      </c>
      <c r="J80" s="1">
        <v>-160</v>
      </c>
      <c r="K80" s="1">
        <v>0</v>
      </c>
      <c r="L80" s="1">
        <v>0</v>
      </c>
      <c r="M80" s="1">
        <v>0</v>
      </c>
      <c r="N80" s="1">
        <v>0</v>
      </c>
      <c r="P80" s="2"/>
      <c r="Q80" s="2"/>
      <c r="R80" s="2"/>
      <c r="S80" s="2"/>
      <c r="T80" s="2"/>
      <c r="U80" s="2"/>
    </row>
    <row r="81" spans="2:21" x14ac:dyDescent="0.25">
      <c r="B81" s="3">
        <v>11.08359999999991</v>
      </c>
      <c r="C81" s="3">
        <v>355.53300000000002</v>
      </c>
      <c r="D81" s="3">
        <v>-29.300999999999895</v>
      </c>
      <c r="E81" s="3">
        <v>-126.30460000000001</v>
      </c>
      <c r="F81" s="3">
        <v>-5.3118000000000016</v>
      </c>
      <c r="G81" s="3">
        <v>66.447600000001017</v>
      </c>
      <c r="I81" s="1">
        <v>0</v>
      </c>
      <c r="J81" s="1">
        <v>-210</v>
      </c>
      <c r="K81" s="1">
        <v>0</v>
      </c>
      <c r="L81" s="1">
        <v>0</v>
      </c>
      <c r="M81" s="1">
        <v>0</v>
      </c>
      <c r="N81" s="1">
        <v>0</v>
      </c>
      <c r="P81" s="2"/>
      <c r="Q81" s="2"/>
      <c r="R81" s="2"/>
      <c r="S81" s="2"/>
      <c r="T81" s="2"/>
      <c r="U81" s="2"/>
    </row>
    <row r="82" spans="2:21" x14ac:dyDescent="0.25">
      <c r="B82" s="3">
        <v>9.0445999999998996</v>
      </c>
      <c r="C82" s="3">
        <v>271.54680000000002</v>
      </c>
      <c r="D82" s="3">
        <v>-24.276199999999996</v>
      </c>
      <c r="E82" s="3">
        <v>-96.808999999999997</v>
      </c>
      <c r="F82" s="3">
        <v>-3.3912000000000013</v>
      </c>
      <c r="G82" s="3">
        <v>51.278000000001015</v>
      </c>
      <c r="I82" s="1">
        <v>0</v>
      </c>
      <c r="J82" s="1">
        <v>-160</v>
      </c>
      <c r="K82" s="1">
        <v>0</v>
      </c>
      <c r="L82" s="1">
        <v>0</v>
      </c>
      <c r="M82" s="1">
        <v>0</v>
      </c>
      <c r="N82" s="1">
        <v>0</v>
      </c>
      <c r="P82" s="2"/>
      <c r="Q82" s="2"/>
      <c r="R82" s="2"/>
      <c r="S82" s="2"/>
      <c r="T82" s="2"/>
      <c r="U82" s="2"/>
    </row>
    <row r="83" spans="2:21" x14ac:dyDescent="0.25">
      <c r="B83" s="3">
        <v>7.1135999999999093</v>
      </c>
      <c r="C83" s="3">
        <v>187.1602</v>
      </c>
      <c r="D83" s="3">
        <v>-18.798200000000001</v>
      </c>
      <c r="E83" s="3">
        <v>-67.153999999999996</v>
      </c>
      <c r="F83" s="3">
        <v>-1.4266000000000005</v>
      </c>
      <c r="G83" s="3">
        <v>30.623000000001014</v>
      </c>
      <c r="I83" s="1">
        <v>0</v>
      </c>
      <c r="J83" s="1">
        <v>-110</v>
      </c>
      <c r="K83" s="1">
        <v>0</v>
      </c>
      <c r="L83" s="1">
        <v>0</v>
      </c>
      <c r="M83" s="1">
        <v>0</v>
      </c>
      <c r="N83" s="1">
        <v>0</v>
      </c>
      <c r="P83" s="2"/>
      <c r="Q83" s="2"/>
      <c r="R83" s="2"/>
      <c r="S83" s="2"/>
      <c r="T83" s="2"/>
      <c r="U83" s="2"/>
    </row>
    <row r="84" spans="2:21" x14ac:dyDescent="0.25">
      <c r="B84" s="3">
        <v>5.731599999999899</v>
      </c>
      <c r="C84" s="3">
        <v>101.57340000000001</v>
      </c>
      <c r="D84" s="3">
        <v>-13.709399999999901</v>
      </c>
      <c r="E84" s="3">
        <v>-35.667200000000001</v>
      </c>
      <c r="F84" s="3">
        <v>1.2027999999999999</v>
      </c>
      <c r="G84" s="3">
        <v>13.986800000001011</v>
      </c>
      <c r="I84" s="1">
        <v>0</v>
      </c>
      <c r="J84" s="1">
        <v>-60</v>
      </c>
      <c r="K84" s="1">
        <v>0</v>
      </c>
      <c r="L84" s="1">
        <v>0</v>
      </c>
      <c r="M84" s="1">
        <v>0</v>
      </c>
      <c r="N84" s="1">
        <v>0</v>
      </c>
      <c r="P84" s="2"/>
      <c r="Q84" s="2"/>
      <c r="R84" s="2"/>
      <c r="S84" s="2"/>
      <c r="T84" s="2"/>
      <c r="U84" s="2"/>
    </row>
    <row r="85" spans="2:21" x14ac:dyDescent="0.25">
      <c r="B85" s="3">
        <v>2.5043999999998992</v>
      </c>
      <c r="C85" s="3">
        <v>-0.17280000000000983</v>
      </c>
      <c r="D85" s="3">
        <v>-5.8717999999999986</v>
      </c>
      <c r="E85" s="3">
        <v>0.55679999999999907</v>
      </c>
      <c r="F85" s="3">
        <v>2.2964000000000091</v>
      </c>
      <c r="G85" s="3">
        <v>14.409400000001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P85" s="2"/>
      <c r="Q85" s="2"/>
      <c r="R85" s="2"/>
      <c r="S85" s="2"/>
      <c r="T85" s="2"/>
      <c r="U85" s="2"/>
    </row>
    <row r="86" spans="2:21" x14ac:dyDescent="0.25">
      <c r="B86" s="3">
        <v>5.6657999999998996</v>
      </c>
      <c r="C86" s="3">
        <v>101.527799999999</v>
      </c>
      <c r="D86" s="3">
        <v>-12.174799999999999</v>
      </c>
      <c r="E86" s="3">
        <v>-36.171399999999998</v>
      </c>
      <c r="F86" s="3">
        <v>0.84600000000000897</v>
      </c>
      <c r="G86" s="3">
        <v>33.8476</v>
      </c>
      <c r="I86" s="1">
        <v>0</v>
      </c>
      <c r="J86" s="1">
        <v>-60</v>
      </c>
      <c r="K86" s="1">
        <v>0</v>
      </c>
      <c r="L86" s="1">
        <v>0</v>
      </c>
      <c r="M86" s="1">
        <v>0</v>
      </c>
      <c r="N86" s="1">
        <v>0</v>
      </c>
      <c r="P86" s="2"/>
      <c r="Q86" s="2"/>
      <c r="R86" s="2"/>
      <c r="S86" s="2"/>
      <c r="T86" s="2"/>
      <c r="U86" s="2"/>
    </row>
    <row r="87" spans="2:21" x14ac:dyDescent="0.25">
      <c r="B87" s="3">
        <v>8.0195999999998993</v>
      </c>
      <c r="C87" s="3">
        <v>187.64859999999999</v>
      </c>
      <c r="D87" s="3">
        <v>-17.932200000000002</v>
      </c>
      <c r="E87" s="3">
        <v>-67.977999999999994</v>
      </c>
      <c r="F87" s="3">
        <v>-1.4283999999999004</v>
      </c>
      <c r="G87" s="3">
        <v>48.267200000000997</v>
      </c>
      <c r="I87" s="1">
        <v>0</v>
      </c>
      <c r="J87" s="1">
        <v>-110</v>
      </c>
      <c r="K87" s="1">
        <v>0</v>
      </c>
      <c r="L87" s="1">
        <v>0</v>
      </c>
      <c r="M87" s="1">
        <v>0</v>
      </c>
      <c r="N87" s="1">
        <v>0</v>
      </c>
      <c r="P87" s="2"/>
      <c r="Q87" s="2"/>
      <c r="R87" s="2"/>
      <c r="S87" s="2"/>
      <c r="T87" s="2"/>
      <c r="U87" s="2"/>
    </row>
    <row r="88" spans="2:21" x14ac:dyDescent="0.25">
      <c r="B88" s="3">
        <v>9.7639999999998999</v>
      </c>
      <c r="C88" s="3">
        <v>272.613599999999</v>
      </c>
      <c r="D88" s="3">
        <v>-24.758600000000001</v>
      </c>
      <c r="E88" s="3">
        <v>-97.662599999999998</v>
      </c>
      <c r="F88" s="3">
        <v>-3.0697999999999013</v>
      </c>
      <c r="G88" s="3">
        <v>62.276800000001003</v>
      </c>
      <c r="I88" s="1">
        <v>0</v>
      </c>
      <c r="J88" s="1">
        <v>-160</v>
      </c>
      <c r="K88" s="1">
        <v>0</v>
      </c>
      <c r="L88" s="1">
        <v>0</v>
      </c>
      <c r="M88" s="1">
        <v>0</v>
      </c>
      <c r="N88" s="1">
        <v>0</v>
      </c>
      <c r="P88" s="2"/>
      <c r="Q88" s="2"/>
      <c r="R88" s="2"/>
      <c r="S88" s="2"/>
      <c r="T88" s="2"/>
      <c r="U88" s="2"/>
    </row>
    <row r="89" spans="2:21" x14ac:dyDescent="0.25">
      <c r="B89" s="3">
        <v>11.790199999999899</v>
      </c>
      <c r="C89" s="3">
        <v>356.88459999999998</v>
      </c>
      <c r="D89" s="3">
        <v>-29.875399999999999</v>
      </c>
      <c r="E89" s="3">
        <v>-127.5206</v>
      </c>
      <c r="F89" s="3">
        <v>-4.9694000000000003</v>
      </c>
      <c r="G89" s="3">
        <v>75.146200000000022</v>
      </c>
      <c r="I89" s="1">
        <v>0</v>
      </c>
      <c r="J89" s="1">
        <v>-210</v>
      </c>
      <c r="K89" s="1">
        <v>0</v>
      </c>
      <c r="L89" s="1">
        <v>0</v>
      </c>
      <c r="M89" s="1">
        <v>0</v>
      </c>
      <c r="N89" s="1">
        <v>0</v>
      </c>
      <c r="P89" s="2"/>
      <c r="Q89" s="2"/>
      <c r="R89" s="2"/>
      <c r="S89" s="2"/>
      <c r="T89" s="2"/>
      <c r="U89" s="2"/>
    </row>
    <row r="90" spans="2:21" x14ac:dyDescent="0.25">
      <c r="B90" s="3">
        <v>9.0445999999998996</v>
      </c>
      <c r="C90" s="3">
        <v>271.54680000000002</v>
      </c>
      <c r="D90" s="3">
        <v>-24.276199999999996</v>
      </c>
      <c r="E90" s="3">
        <v>-96.808999999999997</v>
      </c>
      <c r="F90" s="3">
        <v>-3.3912000000000013</v>
      </c>
      <c r="G90" s="3">
        <v>51.278000000001015</v>
      </c>
      <c r="I90" s="1">
        <v>0</v>
      </c>
      <c r="J90" s="1">
        <v>-160</v>
      </c>
      <c r="K90" s="1">
        <v>0</v>
      </c>
      <c r="L90" s="1">
        <v>0</v>
      </c>
      <c r="M90" s="1">
        <v>0</v>
      </c>
      <c r="N90" s="1">
        <v>0</v>
      </c>
      <c r="P90" s="2"/>
      <c r="Q90" s="2"/>
      <c r="R90" s="2"/>
      <c r="S90" s="2"/>
      <c r="T90" s="2"/>
      <c r="U90" s="2"/>
    </row>
    <row r="91" spans="2:21" x14ac:dyDescent="0.25">
      <c r="B91" s="3">
        <v>7.1135999999999093</v>
      </c>
      <c r="C91" s="3">
        <v>187.1602</v>
      </c>
      <c r="D91" s="3">
        <v>-18.798200000000001</v>
      </c>
      <c r="E91" s="3">
        <v>-67.153999999999996</v>
      </c>
      <c r="F91" s="3">
        <v>-1.4266000000000005</v>
      </c>
      <c r="G91" s="3">
        <v>30.623000000001014</v>
      </c>
      <c r="I91" s="1">
        <v>0</v>
      </c>
      <c r="J91" s="1">
        <v>-110</v>
      </c>
      <c r="K91" s="1">
        <v>0</v>
      </c>
      <c r="L91" s="1">
        <v>0</v>
      </c>
      <c r="M91" s="1">
        <v>0</v>
      </c>
      <c r="N91" s="1">
        <v>0</v>
      </c>
      <c r="P91" s="2"/>
      <c r="Q91" s="2"/>
      <c r="R91" s="2"/>
      <c r="S91" s="2"/>
      <c r="T91" s="2"/>
      <c r="U91" s="2"/>
    </row>
    <row r="92" spans="2:21" x14ac:dyDescent="0.25">
      <c r="B92" s="3">
        <v>5.731599999999899</v>
      </c>
      <c r="C92" s="3">
        <v>101.57340000000001</v>
      </c>
      <c r="D92" s="3">
        <v>-13.709399999999901</v>
      </c>
      <c r="E92" s="3">
        <v>-35.667200000000001</v>
      </c>
      <c r="F92" s="3">
        <v>1.2027999999999999</v>
      </c>
      <c r="G92" s="3">
        <v>13.986800000001011</v>
      </c>
      <c r="I92" s="1">
        <v>0</v>
      </c>
      <c r="J92" s="1">
        <v>-60</v>
      </c>
      <c r="K92" s="1">
        <v>0</v>
      </c>
      <c r="L92" s="1">
        <v>0</v>
      </c>
      <c r="M92" s="1">
        <v>0</v>
      </c>
      <c r="N92" s="1">
        <v>0</v>
      </c>
      <c r="P92" s="2"/>
      <c r="Q92" s="2"/>
      <c r="R92" s="2"/>
      <c r="S92" s="2"/>
      <c r="T92" s="2"/>
      <c r="U92" s="2"/>
    </row>
    <row r="93" spans="2:21" x14ac:dyDescent="0.25">
      <c r="B93" s="3">
        <v>2.5043999999998992</v>
      </c>
      <c r="C93" s="3">
        <v>-0.17280000000000983</v>
      </c>
      <c r="D93" s="3">
        <v>-5.8717999999999986</v>
      </c>
      <c r="E93" s="3">
        <v>0.55679999999999907</v>
      </c>
      <c r="F93" s="3">
        <v>2.2964000000000091</v>
      </c>
      <c r="G93" s="3">
        <v>14.409400000001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P93" s="2"/>
      <c r="Q93" s="2"/>
      <c r="R93" s="2"/>
      <c r="S93" s="2"/>
      <c r="T93" s="2"/>
      <c r="U93" s="2"/>
    </row>
    <row r="94" spans="2:21" x14ac:dyDescent="0.25">
      <c r="B94" s="3">
        <v>5.5369999999998996</v>
      </c>
      <c r="C94" s="3">
        <v>101.4924</v>
      </c>
      <c r="D94" s="3">
        <v>-12.6562</v>
      </c>
      <c r="E94" s="3">
        <v>-35.5974</v>
      </c>
      <c r="F94" s="3">
        <v>0.18140000000000001</v>
      </c>
      <c r="G94" s="3">
        <v>30.007800000000998</v>
      </c>
      <c r="I94" s="1">
        <v>0</v>
      </c>
      <c r="J94" s="1">
        <v>-60</v>
      </c>
      <c r="K94" s="1">
        <v>0</v>
      </c>
      <c r="L94" s="1">
        <v>0</v>
      </c>
      <c r="M94" s="1">
        <v>0</v>
      </c>
      <c r="N94" s="1">
        <v>0</v>
      </c>
      <c r="P94" s="2"/>
      <c r="Q94" s="2"/>
      <c r="R94" s="2"/>
      <c r="S94" s="2"/>
      <c r="T94" s="2"/>
      <c r="U94" s="2"/>
    </row>
    <row r="95" spans="2:21" x14ac:dyDescent="0.25">
      <c r="B95" s="3">
        <v>7.6685999999999099</v>
      </c>
      <c r="C95" s="3">
        <v>186.68340000000001</v>
      </c>
      <c r="D95" s="3">
        <v>-18.800999999999902</v>
      </c>
      <c r="E95" s="3">
        <v>-66.617000000000004</v>
      </c>
      <c r="F95" s="3">
        <v>-1.5334000000000003</v>
      </c>
      <c r="G95" s="3">
        <v>45.598000000001008</v>
      </c>
      <c r="I95" s="1">
        <v>0</v>
      </c>
      <c r="J95" s="1">
        <v>-110</v>
      </c>
      <c r="K95" s="1">
        <v>0</v>
      </c>
      <c r="L95" s="1">
        <v>0</v>
      </c>
      <c r="M95" s="1">
        <v>0</v>
      </c>
      <c r="N95" s="1">
        <v>0</v>
      </c>
      <c r="P95" s="2"/>
      <c r="Q95" s="2"/>
      <c r="R95" s="2"/>
      <c r="S95" s="2"/>
      <c r="T95" s="2"/>
      <c r="U95" s="2"/>
    </row>
    <row r="96" spans="2:21" x14ac:dyDescent="0.25">
      <c r="B96" s="3">
        <v>9.3869999999998992</v>
      </c>
      <c r="C96" s="3">
        <v>270.9982</v>
      </c>
      <c r="D96" s="3">
        <v>-23.843199999999996</v>
      </c>
      <c r="E96" s="3">
        <v>-96.4114</v>
      </c>
      <c r="F96" s="3">
        <v>-3.0890000000000004</v>
      </c>
      <c r="G96" s="3">
        <v>54.787600000001021</v>
      </c>
      <c r="I96" s="1">
        <v>0</v>
      </c>
      <c r="J96" s="1">
        <v>-160</v>
      </c>
      <c r="K96" s="1">
        <v>0</v>
      </c>
      <c r="L96" s="1">
        <v>0</v>
      </c>
      <c r="M96" s="1">
        <v>0</v>
      </c>
      <c r="N96" s="1">
        <v>0</v>
      </c>
      <c r="P96" s="2"/>
      <c r="Q96" s="2"/>
      <c r="R96" s="2"/>
      <c r="S96" s="2"/>
      <c r="T96" s="2"/>
      <c r="U96" s="2"/>
    </row>
    <row r="97" spans="1:21" x14ac:dyDescent="0.25">
      <c r="B97" s="3">
        <v>11.08359999999991</v>
      </c>
      <c r="C97" s="3">
        <v>355.53300000000002</v>
      </c>
      <c r="D97" s="3">
        <v>-29.300999999999895</v>
      </c>
      <c r="E97" s="3">
        <v>-126.30460000000001</v>
      </c>
      <c r="F97" s="3">
        <v>-5.3118000000000016</v>
      </c>
      <c r="G97" s="3">
        <v>66.447600000001017</v>
      </c>
      <c r="I97" s="1">
        <v>0</v>
      </c>
      <c r="J97" s="1">
        <v>-210</v>
      </c>
      <c r="K97" s="1">
        <v>0</v>
      </c>
      <c r="L97" s="1">
        <v>0</v>
      </c>
      <c r="M97" s="1">
        <v>0</v>
      </c>
      <c r="N97" s="1">
        <v>0</v>
      </c>
      <c r="P97" s="2"/>
      <c r="Q97" s="2"/>
      <c r="R97" s="2"/>
      <c r="S97" s="2"/>
      <c r="T97" s="2"/>
      <c r="U97" s="2"/>
    </row>
    <row r="98" spans="1:21" x14ac:dyDescent="0.25">
      <c r="B98" s="3">
        <v>9.0445999999998996</v>
      </c>
      <c r="C98" s="3">
        <v>271.54680000000002</v>
      </c>
      <c r="D98" s="3">
        <v>-24.276199999999996</v>
      </c>
      <c r="E98" s="3">
        <v>-96.808999999999997</v>
      </c>
      <c r="F98" s="3">
        <v>-3.3912000000000013</v>
      </c>
      <c r="G98" s="3">
        <v>51.278000000001015</v>
      </c>
      <c r="I98" s="1">
        <v>0</v>
      </c>
      <c r="J98" s="1">
        <v>-160</v>
      </c>
      <c r="K98" s="1">
        <v>0</v>
      </c>
      <c r="L98" s="1">
        <v>0</v>
      </c>
      <c r="M98" s="1">
        <v>0</v>
      </c>
      <c r="N98" s="1">
        <v>0</v>
      </c>
      <c r="P98" s="2"/>
      <c r="Q98" s="2"/>
      <c r="R98" s="2"/>
      <c r="S98" s="2"/>
      <c r="T98" s="2"/>
      <c r="U98" s="2"/>
    </row>
    <row r="99" spans="1:21" x14ac:dyDescent="0.25">
      <c r="B99" s="3">
        <v>7.1135999999999093</v>
      </c>
      <c r="C99" s="3">
        <v>187.1602</v>
      </c>
      <c r="D99" s="3">
        <v>-18.798200000000001</v>
      </c>
      <c r="E99" s="3">
        <v>-67.153999999999996</v>
      </c>
      <c r="F99" s="3">
        <v>-1.4266000000000005</v>
      </c>
      <c r="G99" s="3">
        <v>30.623000000001014</v>
      </c>
      <c r="I99" s="1">
        <v>0</v>
      </c>
      <c r="J99" s="1">
        <v>-110</v>
      </c>
      <c r="K99" s="1">
        <v>0</v>
      </c>
      <c r="L99" s="1">
        <v>0</v>
      </c>
      <c r="M99" s="1">
        <v>0</v>
      </c>
      <c r="N99" s="1">
        <v>0</v>
      </c>
      <c r="P99" s="2"/>
      <c r="Q99" s="2"/>
      <c r="R99" s="2"/>
      <c r="S99" s="2"/>
      <c r="T99" s="2"/>
      <c r="U99" s="2"/>
    </row>
    <row r="100" spans="1:21" x14ac:dyDescent="0.25">
      <c r="B100" s="3">
        <v>5.731599999999899</v>
      </c>
      <c r="C100" s="3">
        <v>101.57340000000001</v>
      </c>
      <c r="D100" s="3">
        <v>-13.709399999999901</v>
      </c>
      <c r="E100" s="3">
        <v>-35.667200000000001</v>
      </c>
      <c r="F100" s="3">
        <v>1.2027999999999999</v>
      </c>
      <c r="G100" s="3">
        <v>13.986800000001011</v>
      </c>
      <c r="I100" s="1">
        <v>0</v>
      </c>
      <c r="J100" s="1">
        <v>-60</v>
      </c>
      <c r="K100" s="1">
        <v>0</v>
      </c>
      <c r="L100" s="1">
        <v>0</v>
      </c>
      <c r="M100" s="1">
        <v>0</v>
      </c>
      <c r="N100" s="1">
        <v>0</v>
      </c>
      <c r="P100" s="2"/>
      <c r="Q100" s="2"/>
      <c r="R100" s="2"/>
      <c r="S100" s="2"/>
      <c r="T100" s="2"/>
      <c r="U100" s="2"/>
    </row>
    <row r="101" spans="1:21" x14ac:dyDescent="0.25">
      <c r="B101" s="3">
        <v>2.5043999999998992</v>
      </c>
      <c r="C101" s="3">
        <v>-0.17280000000000983</v>
      </c>
      <c r="D101" s="3">
        <v>-5.8717999999999986</v>
      </c>
      <c r="E101" s="3">
        <v>0.55679999999999907</v>
      </c>
      <c r="F101" s="3">
        <v>2.2964000000000091</v>
      </c>
      <c r="G101" s="3">
        <v>14.409400000001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P101" s="2"/>
      <c r="Q101" s="2"/>
      <c r="R101" s="2"/>
      <c r="S101" s="2"/>
      <c r="T101" s="2"/>
      <c r="U101" s="2"/>
    </row>
    <row r="102" spans="1:21" x14ac:dyDescent="0.25">
      <c r="A102">
        <v>1</v>
      </c>
      <c r="B102" s="3">
        <v>0</v>
      </c>
      <c r="C102" s="3">
        <v>0</v>
      </c>
      <c r="D102" s="3">
        <v>0</v>
      </c>
      <c r="E102" s="3">
        <v>0</v>
      </c>
      <c r="F102" s="3">
        <v>0</v>
      </c>
      <c r="G102" s="3">
        <v>0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P102" s="2"/>
      <c r="Q102" s="2"/>
      <c r="R102" s="2"/>
      <c r="S102" s="2"/>
      <c r="T102" s="2"/>
      <c r="U102" s="2"/>
    </row>
    <row r="103" spans="1:21" x14ac:dyDescent="0.25">
      <c r="B103" s="3">
        <v>23.613399999999899</v>
      </c>
      <c r="C103" s="3">
        <v>24.422799999999999</v>
      </c>
      <c r="D103" s="3">
        <v>452.60459999999898</v>
      </c>
      <c r="E103" s="3">
        <v>-31.776800000000001</v>
      </c>
      <c r="F103" s="3">
        <v>29.133399999999988</v>
      </c>
      <c r="G103" s="3">
        <v>-29.242199999999983</v>
      </c>
      <c r="I103" s="1">
        <v>0</v>
      </c>
      <c r="J103" s="1">
        <v>0</v>
      </c>
      <c r="K103" s="1">
        <v>110</v>
      </c>
      <c r="L103" s="1">
        <v>0</v>
      </c>
      <c r="M103" s="1">
        <v>0</v>
      </c>
      <c r="N103" s="1">
        <v>0</v>
      </c>
      <c r="P103" s="2"/>
      <c r="Q103" s="2"/>
      <c r="R103" s="2"/>
      <c r="S103" s="2"/>
      <c r="T103" s="2"/>
      <c r="U103" s="2"/>
    </row>
    <row r="104" spans="1:21" x14ac:dyDescent="0.25">
      <c r="B104" s="3">
        <v>24.729199999999899</v>
      </c>
      <c r="C104" s="3">
        <v>30.964799999999997</v>
      </c>
      <c r="D104" s="3">
        <v>867.22460000000001</v>
      </c>
      <c r="E104" s="3">
        <v>-40.745400000000004</v>
      </c>
      <c r="F104" s="3">
        <v>31.288599999999988</v>
      </c>
      <c r="G104" s="3">
        <v>-50.064799999999991</v>
      </c>
      <c r="I104" s="1">
        <v>0</v>
      </c>
      <c r="J104" s="1">
        <v>0</v>
      </c>
      <c r="K104" s="1">
        <v>210</v>
      </c>
      <c r="L104" s="1">
        <v>0</v>
      </c>
      <c r="M104" s="1">
        <v>0</v>
      </c>
      <c r="N104" s="1">
        <v>0</v>
      </c>
      <c r="P104" s="2"/>
      <c r="Q104" s="2"/>
      <c r="R104" s="2"/>
      <c r="S104" s="2"/>
      <c r="T104" s="2"/>
      <c r="U104" s="2"/>
    </row>
    <row r="105" spans="1:21" x14ac:dyDescent="0.25">
      <c r="B105" s="3">
        <v>23.665799999999898</v>
      </c>
      <c r="C105" s="3">
        <v>28.869599999999998</v>
      </c>
      <c r="D105" s="3">
        <v>1283.6183999999998</v>
      </c>
      <c r="E105" s="3">
        <v>-38.711600000000004</v>
      </c>
      <c r="F105" s="3">
        <v>30.560199999999988</v>
      </c>
      <c r="G105" s="3">
        <v>-70.841799999999992</v>
      </c>
      <c r="I105" s="1">
        <v>0</v>
      </c>
      <c r="J105" s="1">
        <v>0</v>
      </c>
      <c r="K105" s="1">
        <v>310</v>
      </c>
      <c r="L105" s="1">
        <v>0</v>
      </c>
      <c r="M105" s="1">
        <v>0</v>
      </c>
      <c r="N105" s="1">
        <v>0</v>
      </c>
      <c r="P105" s="2"/>
      <c r="Q105" s="2"/>
      <c r="R105" s="2"/>
      <c r="S105" s="2"/>
      <c r="T105" s="2"/>
      <c r="U105" s="2"/>
    </row>
    <row r="106" spans="1:21" x14ac:dyDescent="0.25">
      <c r="B106" s="3">
        <v>21.496199999999899</v>
      </c>
      <c r="C106" s="3">
        <v>21.508400000000002</v>
      </c>
      <c r="D106" s="3">
        <v>1696.0265999999999</v>
      </c>
      <c r="E106" s="3">
        <v>-30.720199999999998</v>
      </c>
      <c r="F106" s="3">
        <v>28.440999999999988</v>
      </c>
      <c r="G106" s="3">
        <v>-91.184999999999988</v>
      </c>
      <c r="I106" s="1">
        <v>0</v>
      </c>
      <c r="J106" s="1">
        <v>0</v>
      </c>
      <c r="K106" s="1">
        <v>410</v>
      </c>
      <c r="L106" s="1">
        <v>0</v>
      </c>
      <c r="M106" s="1">
        <v>0</v>
      </c>
      <c r="N106" s="1">
        <v>0</v>
      </c>
      <c r="P106" s="2"/>
      <c r="Q106" s="2"/>
      <c r="R106" s="2"/>
      <c r="S106" s="2"/>
      <c r="T106" s="2"/>
      <c r="U106" s="2"/>
    </row>
    <row r="107" spans="1:21" x14ac:dyDescent="0.25">
      <c r="B107" s="3">
        <v>18.691599999999898</v>
      </c>
      <c r="C107" s="3">
        <v>10.645799999999999</v>
      </c>
      <c r="D107" s="3">
        <v>2110.4686000000002</v>
      </c>
      <c r="E107" s="3">
        <v>-18.028400000000001</v>
      </c>
      <c r="F107" s="3">
        <v>25.873799999999989</v>
      </c>
      <c r="G107" s="3">
        <v>-111.61180000000009</v>
      </c>
      <c r="I107" s="1">
        <v>0</v>
      </c>
      <c r="J107" s="1">
        <v>0</v>
      </c>
      <c r="K107" s="1">
        <v>510</v>
      </c>
      <c r="L107" s="1">
        <v>0</v>
      </c>
      <c r="M107" s="1">
        <v>0</v>
      </c>
      <c r="N107" s="1">
        <v>0</v>
      </c>
      <c r="P107" s="2"/>
      <c r="Q107" s="2"/>
      <c r="R107" s="2"/>
      <c r="S107" s="2"/>
      <c r="T107" s="2"/>
      <c r="U107" s="2"/>
    </row>
    <row r="108" spans="1:21" x14ac:dyDescent="0.25">
      <c r="B108" s="3">
        <v>17.712799999999898</v>
      </c>
      <c r="C108" s="3">
        <v>16.0578</v>
      </c>
      <c r="D108" s="3">
        <v>1710.4887999999999</v>
      </c>
      <c r="E108" s="3">
        <v>-23.8782</v>
      </c>
      <c r="F108" s="3">
        <v>23.667799999999989</v>
      </c>
      <c r="G108" s="3">
        <v>-91.736199999999997</v>
      </c>
      <c r="I108" s="1">
        <v>0</v>
      </c>
      <c r="J108" s="1">
        <v>0</v>
      </c>
      <c r="K108" s="1">
        <v>410</v>
      </c>
      <c r="L108" s="1">
        <v>0</v>
      </c>
      <c r="M108" s="1">
        <v>0</v>
      </c>
      <c r="N108" s="1">
        <v>0</v>
      </c>
      <c r="P108" s="2"/>
      <c r="Q108" s="2"/>
      <c r="R108" s="2"/>
      <c r="S108" s="2"/>
      <c r="T108" s="2"/>
      <c r="U108" s="2"/>
    </row>
    <row r="109" spans="1:21" x14ac:dyDescent="0.25">
      <c r="B109" s="3">
        <v>16.45579999999989</v>
      </c>
      <c r="C109" s="3">
        <v>15.106199999999902</v>
      </c>
      <c r="D109" s="3">
        <v>1300.7148</v>
      </c>
      <c r="E109" s="3">
        <v>-21.413</v>
      </c>
      <c r="F109" s="3">
        <v>21.628599999999992</v>
      </c>
      <c r="G109" s="3">
        <v>-71.018199999999993</v>
      </c>
      <c r="I109" s="1">
        <v>0</v>
      </c>
      <c r="J109" s="1">
        <v>0</v>
      </c>
      <c r="K109" s="1">
        <v>310</v>
      </c>
      <c r="L109" s="1">
        <v>0</v>
      </c>
      <c r="M109" s="1">
        <v>0</v>
      </c>
      <c r="N109" s="1">
        <v>0</v>
      </c>
      <c r="P109" s="2"/>
      <c r="Q109" s="2"/>
      <c r="R109" s="2"/>
      <c r="S109" s="2"/>
      <c r="T109" s="2"/>
      <c r="U109" s="2"/>
    </row>
    <row r="110" spans="1:21" x14ac:dyDescent="0.25">
      <c r="B110" s="3">
        <v>15.483999999999899</v>
      </c>
      <c r="C110" s="3">
        <v>8.2072000000000003</v>
      </c>
      <c r="D110" s="3">
        <v>885.92619999999999</v>
      </c>
      <c r="E110" s="3">
        <v>-12.3462</v>
      </c>
      <c r="F110" s="3">
        <v>20.397799999999989</v>
      </c>
      <c r="G110" s="3">
        <v>-49.835599999999985</v>
      </c>
      <c r="I110" s="1">
        <v>0</v>
      </c>
      <c r="J110" s="1">
        <v>0</v>
      </c>
      <c r="K110" s="1">
        <v>210</v>
      </c>
      <c r="L110" s="1">
        <v>0</v>
      </c>
      <c r="M110" s="1">
        <v>0</v>
      </c>
      <c r="N110" s="1">
        <v>0</v>
      </c>
      <c r="P110" s="2"/>
      <c r="Q110" s="2"/>
      <c r="R110" s="2"/>
      <c r="S110" s="2"/>
      <c r="T110" s="2"/>
      <c r="U110" s="2"/>
    </row>
    <row r="111" spans="1:21" x14ac:dyDescent="0.25">
      <c r="B111" s="3">
        <v>13.873999999999899</v>
      </c>
      <c r="C111" s="3">
        <v>-2.2681999999999998</v>
      </c>
      <c r="D111" s="3">
        <v>466.07139999999998</v>
      </c>
      <c r="E111" s="3">
        <v>1.0894000000000013</v>
      </c>
      <c r="F111" s="3">
        <v>18.137399999999989</v>
      </c>
      <c r="G111" s="3">
        <v>-28.36160000000099</v>
      </c>
      <c r="I111" s="1">
        <v>0</v>
      </c>
      <c r="J111" s="1">
        <v>0</v>
      </c>
      <c r="K111" s="1">
        <v>110</v>
      </c>
      <c r="L111" s="1">
        <v>0</v>
      </c>
      <c r="M111" s="1">
        <v>0</v>
      </c>
      <c r="N111" s="1">
        <v>0</v>
      </c>
      <c r="P111" s="2"/>
      <c r="Q111" s="2"/>
      <c r="R111" s="2"/>
      <c r="S111" s="2"/>
      <c r="T111" s="2"/>
      <c r="U111" s="2"/>
    </row>
    <row r="112" spans="1:21" x14ac:dyDescent="0.25">
      <c r="B112" s="3">
        <v>-8.860000000010082E-2</v>
      </c>
      <c r="C112" s="3">
        <v>-0.13300000000000001</v>
      </c>
      <c r="D112" s="3">
        <v>4.7599999999999199E-2</v>
      </c>
      <c r="E112" s="3">
        <v>0.27079999999989823</v>
      </c>
      <c r="F112" s="3">
        <v>6.4199999999989821E-2</v>
      </c>
      <c r="G112" s="3">
        <v>1.5938000000000159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P112" s="2"/>
      <c r="Q112" s="2"/>
      <c r="R112" s="2"/>
      <c r="S112" s="2"/>
      <c r="T112" s="2"/>
      <c r="U112" s="2"/>
    </row>
    <row r="113" spans="2:21" x14ac:dyDescent="0.25">
      <c r="B113" s="3">
        <v>20.848599999999898</v>
      </c>
      <c r="C113" s="3">
        <v>24.078399999999998</v>
      </c>
      <c r="D113" s="3">
        <v>458.33879999999999</v>
      </c>
      <c r="E113" s="3">
        <v>-31.726199999999999</v>
      </c>
      <c r="F113" s="3">
        <v>25.544599999999988</v>
      </c>
      <c r="G113" s="3">
        <v>-28.525599999999983</v>
      </c>
      <c r="I113" s="1">
        <v>0</v>
      </c>
      <c r="J113" s="1">
        <v>0</v>
      </c>
      <c r="K113" s="1">
        <v>110</v>
      </c>
      <c r="L113" s="1">
        <v>0</v>
      </c>
      <c r="M113" s="1">
        <v>0</v>
      </c>
      <c r="N113" s="1">
        <v>0</v>
      </c>
      <c r="P113" s="2"/>
      <c r="Q113" s="2"/>
      <c r="R113" s="2"/>
      <c r="S113" s="2"/>
      <c r="T113" s="2"/>
      <c r="U113" s="2"/>
    </row>
    <row r="114" spans="2:21" x14ac:dyDescent="0.25">
      <c r="B114" s="3">
        <v>22.6311999999999</v>
      </c>
      <c r="C114" s="3">
        <v>31.997999999999998</v>
      </c>
      <c r="D114" s="3">
        <v>874.32100000000003</v>
      </c>
      <c r="E114" s="3">
        <v>-41.858000000000004</v>
      </c>
      <c r="F114" s="3">
        <v>27.683799999999991</v>
      </c>
      <c r="G114" s="3">
        <v>-49.883799999999994</v>
      </c>
      <c r="I114" s="1">
        <v>0</v>
      </c>
      <c r="J114" s="1">
        <v>0</v>
      </c>
      <c r="K114" s="1">
        <v>210</v>
      </c>
      <c r="L114" s="1">
        <v>0</v>
      </c>
      <c r="M114" s="1">
        <v>0</v>
      </c>
      <c r="N114" s="1">
        <v>0</v>
      </c>
      <c r="P114" s="2"/>
      <c r="Q114" s="2"/>
      <c r="R114" s="2"/>
      <c r="S114" s="2"/>
      <c r="T114" s="2"/>
      <c r="U114" s="2"/>
    </row>
    <row r="115" spans="2:21" x14ac:dyDescent="0.25">
      <c r="B115" s="3">
        <v>22.155999999999899</v>
      </c>
      <c r="C115" s="3">
        <v>32.816200000000002</v>
      </c>
      <c r="D115" s="3">
        <v>1288.5154</v>
      </c>
      <c r="E115" s="3">
        <v>-43.828600000000002</v>
      </c>
      <c r="F115" s="3">
        <v>27.445199999999993</v>
      </c>
      <c r="G115" s="3">
        <v>-71.296599999999984</v>
      </c>
      <c r="I115" s="1">
        <v>0</v>
      </c>
      <c r="J115" s="1">
        <v>0</v>
      </c>
      <c r="K115" s="1">
        <v>310</v>
      </c>
      <c r="L115" s="1">
        <v>0</v>
      </c>
      <c r="M115" s="1">
        <v>0</v>
      </c>
      <c r="N115" s="1">
        <v>0</v>
      </c>
      <c r="P115" s="2"/>
      <c r="Q115" s="2"/>
      <c r="R115" s="2"/>
      <c r="S115" s="2"/>
      <c r="T115" s="2"/>
      <c r="U115" s="2"/>
    </row>
    <row r="116" spans="2:21" x14ac:dyDescent="0.25">
      <c r="B116" s="3">
        <v>21.0307999999999</v>
      </c>
      <c r="C116" s="3">
        <v>28.441600000000001</v>
      </c>
      <c r="D116" s="3">
        <v>1698.1397999999899</v>
      </c>
      <c r="E116" s="3">
        <v>-39.239199999999997</v>
      </c>
      <c r="F116" s="3">
        <v>27.052799999999991</v>
      </c>
      <c r="G116" s="3">
        <v>-92.311199999999985</v>
      </c>
      <c r="I116" s="1">
        <v>0</v>
      </c>
      <c r="J116" s="1">
        <v>0</v>
      </c>
      <c r="K116" s="1">
        <v>410</v>
      </c>
      <c r="L116" s="1">
        <v>0</v>
      </c>
      <c r="M116" s="1">
        <v>0</v>
      </c>
      <c r="N116" s="1">
        <v>0</v>
      </c>
      <c r="P116" s="2"/>
      <c r="Q116" s="2"/>
      <c r="R116" s="2"/>
      <c r="S116" s="2"/>
      <c r="T116" s="2"/>
      <c r="U116" s="2"/>
    </row>
    <row r="117" spans="2:21" x14ac:dyDescent="0.25">
      <c r="B117" s="3">
        <v>18.587599999999888</v>
      </c>
      <c r="C117" s="3">
        <v>20.9894</v>
      </c>
      <c r="D117" s="3">
        <v>2109.9490000000001</v>
      </c>
      <c r="E117" s="3">
        <v>-30.780200000000001</v>
      </c>
      <c r="F117" s="3">
        <v>24.941999999999886</v>
      </c>
      <c r="G117" s="3">
        <v>-112.88419999999999</v>
      </c>
      <c r="I117" s="1">
        <v>0</v>
      </c>
      <c r="J117" s="1">
        <v>0</v>
      </c>
      <c r="K117" s="1">
        <v>510</v>
      </c>
      <c r="L117" s="1">
        <v>0</v>
      </c>
      <c r="M117" s="1">
        <v>0</v>
      </c>
      <c r="N117" s="1">
        <v>0</v>
      </c>
      <c r="P117" s="2"/>
      <c r="Q117" s="2"/>
      <c r="R117" s="2"/>
      <c r="S117" s="2"/>
      <c r="T117" s="2"/>
      <c r="U117" s="2"/>
    </row>
    <row r="118" spans="2:21" x14ac:dyDescent="0.25">
      <c r="B118" s="3">
        <v>17.712799999999898</v>
      </c>
      <c r="C118" s="3">
        <v>16.0578</v>
      </c>
      <c r="D118" s="3">
        <v>1710.4887999999999</v>
      </c>
      <c r="E118" s="3">
        <v>-23.8782</v>
      </c>
      <c r="F118" s="3">
        <v>23.667799999999989</v>
      </c>
      <c r="G118" s="3">
        <v>-91.736199999999997</v>
      </c>
      <c r="I118" s="1">
        <v>0</v>
      </c>
      <c r="J118" s="1">
        <v>0</v>
      </c>
      <c r="K118" s="1">
        <v>410</v>
      </c>
      <c r="L118" s="1">
        <v>0</v>
      </c>
      <c r="M118" s="1">
        <v>0</v>
      </c>
      <c r="N118" s="1">
        <v>0</v>
      </c>
      <c r="P118" s="2"/>
      <c r="Q118" s="2"/>
      <c r="R118" s="2"/>
      <c r="S118" s="2"/>
      <c r="T118" s="2"/>
      <c r="U118" s="2"/>
    </row>
    <row r="119" spans="2:21" x14ac:dyDescent="0.25">
      <c r="B119" s="3">
        <v>16.45579999999989</v>
      </c>
      <c r="C119" s="3">
        <v>15.106199999999902</v>
      </c>
      <c r="D119" s="3">
        <v>1300.7148</v>
      </c>
      <c r="E119" s="3">
        <v>-21.413</v>
      </c>
      <c r="F119" s="3">
        <v>21.628599999999992</v>
      </c>
      <c r="G119" s="3">
        <v>-71.018199999999993</v>
      </c>
      <c r="I119" s="1">
        <v>0</v>
      </c>
      <c r="J119" s="1">
        <v>0</v>
      </c>
      <c r="K119" s="1">
        <v>310</v>
      </c>
      <c r="L119" s="1">
        <v>0</v>
      </c>
      <c r="M119" s="1">
        <v>0</v>
      </c>
      <c r="N119" s="1">
        <v>0</v>
      </c>
      <c r="P119" s="2"/>
      <c r="Q119" s="2"/>
      <c r="R119" s="2"/>
      <c r="S119" s="2"/>
      <c r="T119" s="2"/>
      <c r="U119" s="2"/>
    </row>
    <row r="120" spans="2:21" x14ac:dyDescent="0.25">
      <c r="B120" s="3">
        <v>15.483999999999899</v>
      </c>
      <c r="C120" s="3">
        <v>8.2072000000000003</v>
      </c>
      <c r="D120" s="3">
        <v>885.92619999999999</v>
      </c>
      <c r="E120" s="3">
        <v>-12.3462</v>
      </c>
      <c r="F120" s="3">
        <v>20.397799999999989</v>
      </c>
      <c r="G120" s="3">
        <v>-49.835599999999985</v>
      </c>
      <c r="I120" s="1">
        <v>0</v>
      </c>
      <c r="J120" s="1">
        <v>0</v>
      </c>
      <c r="K120" s="1">
        <v>210</v>
      </c>
      <c r="L120" s="1">
        <v>0</v>
      </c>
      <c r="M120" s="1">
        <v>0</v>
      </c>
      <c r="N120" s="1">
        <v>0</v>
      </c>
      <c r="P120" s="2"/>
      <c r="Q120" s="2"/>
      <c r="R120" s="2"/>
      <c r="S120" s="2"/>
      <c r="T120" s="2"/>
      <c r="U120" s="2"/>
    </row>
    <row r="121" spans="2:21" x14ac:dyDescent="0.25">
      <c r="B121" s="3">
        <v>13.873999999999899</v>
      </c>
      <c r="C121" s="3">
        <v>-2.2681999999999998</v>
      </c>
      <c r="D121" s="3">
        <v>466.07139999999998</v>
      </c>
      <c r="E121" s="3">
        <v>1.0894000000000013</v>
      </c>
      <c r="F121" s="3">
        <v>18.137399999999989</v>
      </c>
      <c r="G121" s="3">
        <v>-28.36160000000099</v>
      </c>
      <c r="I121" s="1">
        <v>0</v>
      </c>
      <c r="J121" s="1">
        <v>0</v>
      </c>
      <c r="K121" s="1">
        <v>110</v>
      </c>
      <c r="L121" s="1">
        <v>0</v>
      </c>
      <c r="M121" s="1">
        <v>0</v>
      </c>
      <c r="N121" s="1">
        <v>0</v>
      </c>
      <c r="P121" s="2"/>
      <c r="Q121" s="2"/>
      <c r="R121" s="2"/>
      <c r="S121" s="2"/>
      <c r="T121" s="2"/>
      <c r="U121" s="2"/>
    </row>
    <row r="122" spans="2:21" x14ac:dyDescent="0.25">
      <c r="B122" s="3">
        <v>-8.860000000010082E-2</v>
      </c>
      <c r="C122" s="3">
        <v>-0.13300000000000001</v>
      </c>
      <c r="D122" s="3">
        <v>4.7599999999999199E-2</v>
      </c>
      <c r="E122" s="3">
        <v>0.27079999999989823</v>
      </c>
      <c r="F122" s="3">
        <v>6.4199999999989821E-2</v>
      </c>
      <c r="G122" s="3">
        <v>1.5938000000000159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P122" s="2"/>
      <c r="Q122" s="2"/>
      <c r="R122" s="2"/>
      <c r="S122" s="2"/>
      <c r="T122" s="2"/>
      <c r="U122" s="2"/>
    </row>
    <row r="123" spans="2:21" x14ac:dyDescent="0.25">
      <c r="B123" s="3">
        <v>23.613399999999899</v>
      </c>
      <c r="C123" s="3">
        <v>24.422799999999999</v>
      </c>
      <c r="D123" s="3">
        <v>452.60459999999898</v>
      </c>
      <c r="E123" s="3">
        <v>-31.776800000000001</v>
      </c>
      <c r="F123" s="3">
        <v>29.133399999999988</v>
      </c>
      <c r="G123" s="3">
        <v>-29.242199999999983</v>
      </c>
      <c r="I123" s="1">
        <v>0</v>
      </c>
      <c r="J123" s="1">
        <v>0</v>
      </c>
      <c r="K123" s="1">
        <v>110</v>
      </c>
      <c r="L123" s="1">
        <v>0</v>
      </c>
      <c r="M123" s="1">
        <v>0</v>
      </c>
      <c r="N123" s="1">
        <v>0</v>
      </c>
      <c r="P123" s="2"/>
      <c r="Q123" s="2"/>
      <c r="R123" s="2"/>
      <c r="S123" s="2"/>
      <c r="T123" s="2"/>
      <c r="U123" s="2"/>
    </row>
    <row r="124" spans="2:21" x14ac:dyDescent="0.25">
      <c r="B124" s="3">
        <v>24.729199999999899</v>
      </c>
      <c r="C124" s="3">
        <v>30.964799999999997</v>
      </c>
      <c r="D124" s="3">
        <v>867.22460000000001</v>
      </c>
      <c r="E124" s="3">
        <v>-40.745400000000004</v>
      </c>
      <c r="F124" s="3">
        <v>31.288599999999988</v>
      </c>
      <c r="G124" s="3">
        <v>-50.064799999999991</v>
      </c>
      <c r="I124" s="1">
        <v>0</v>
      </c>
      <c r="J124" s="1">
        <v>0</v>
      </c>
      <c r="K124" s="1">
        <v>210</v>
      </c>
      <c r="L124" s="1">
        <v>0</v>
      </c>
      <c r="M124" s="1">
        <v>0</v>
      </c>
      <c r="N124" s="1">
        <v>0</v>
      </c>
      <c r="P124" s="2"/>
      <c r="Q124" s="2"/>
      <c r="R124" s="2"/>
      <c r="S124" s="2"/>
      <c r="T124" s="2"/>
      <c r="U124" s="2"/>
    </row>
    <row r="125" spans="2:21" x14ac:dyDescent="0.25">
      <c r="B125" s="3">
        <v>23.665799999999898</v>
      </c>
      <c r="C125" s="3">
        <v>28.869599999999998</v>
      </c>
      <c r="D125" s="3">
        <v>1283.6183999999998</v>
      </c>
      <c r="E125" s="3">
        <v>-38.711600000000004</v>
      </c>
      <c r="F125" s="3">
        <v>30.560199999999988</v>
      </c>
      <c r="G125" s="3">
        <v>-70.841799999999992</v>
      </c>
      <c r="I125" s="1">
        <v>0</v>
      </c>
      <c r="J125" s="1">
        <v>0</v>
      </c>
      <c r="K125" s="1">
        <v>310</v>
      </c>
      <c r="L125" s="1">
        <v>0</v>
      </c>
      <c r="M125" s="1">
        <v>0</v>
      </c>
      <c r="N125" s="1">
        <v>0</v>
      </c>
      <c r="P125" s="2"/>
      <c r="Q125" s="2"/>
      <c r="R125" s="2"/>
      <c r="S125" s="2"/>
      <c r="T125" s="2"/>
      <c r="U125" s="2"/>
    </row>
    <row r="126" spans="2:21" x14ac:dyDescent="0.25">
      <c r="B126" s="3">
        <v>21.496199999999899</v>
      </c>
      <c r="C126" s="3">
        <v>21.508400000000002</v>
      </c>
      <c r="D126" s="3">
        <v>1696.0265999999999</v>
      </c>
      <c r="E126" s="3">
        <v>-30.720199999999998</v>
      </c>
      <c r="F126" s="3">
        <v>28.440999999999988</v>
      </c>
      <c r="G126" s="3">
        <v>-91.184999999999988</v>
      </c>
      <c r="I126" s="1">
        <v>0</v>
      </c>
      <c r="J126" s="1">
        <v>0</v>
      </c>
      <c r="K126" s="1">
        <v>410</v>
      </c>
      <c r="L126" s="1">
        <v>0</v>
      </c>
      <c r="M126" s="1">
        <v>0</v>
      </c>
      <c r="N126" s="1">
        <v>0</v>
      </c>
      <c r="P126" s="2"/>
      <c r="Q126" s="2"/>
      <c r="R126" s="2"/>
      <c r="S126" s="2"/>
      <c r="T126" s="2"/>
      <c r="U126" s="2"/>
    </row>
    <row r="127" spans="2:21" x14ac:dyDescent="0.25">
      <c r="B127" s="3">
        <v>18.691599999999898</v>
      </c>
      <c r="C127" s="3">
        <v>10.645799999999999</v>
      </c>
      <c r="D127" s="3">
        <v>2110.4686000000002</v>
      </c>
      <c r="E127" s="3">
        <v>-18.028400000000001</v>
      </c>
      <c r="F127" s="3">
        <v>25.873799999999989</v>
      </c>
      <c r="G127" s="3">
        <v>-111.61180000000009</v>
      </c>
      <c r="I127" s="1">
        <v>0</v>
      </c>
      <c r="J127" s="1">
        <v>0</v>
      </c>
      <c r="K127" s="1">
        <v>510</v>
      </c>
      <c r="L127" s="1">
        <v>0</v>
      </c>
      <c r="M127" s="1">
        <v>0</v>
      </c>
      <c r="N127" s="1">
        <v>0</v>
      </c>
      <c r="P127" s="2"/>
      <c r="Q127" s="2"/>
      <c r="R127" s="2"/>
      <c r="S127" s="2"/>
      <c r="T127" s="2"/>
      <c r="U127" s="2"/>
    </row>
    <row r="128" spans="2:21" x14ac:dyDescent="0.25">
      <c r="B128" s="3">
        <v>17.712799999999898</v>
      </c>
      <c r="C128" s="3">
        <v>16.0578</v>
      </c>
      <c r="D128" s="3">
        <v>1710.4887999999999</v>
      </c>
      <c r="E128" s="3">
        <v>-23.8782</v>
      </c>
      <c r="F128" s="3">
        <v>23.667799999999989</v>
      </c>
      <c r="G128" s="3">
        <v>-91.736199999999997</v>
      </c>
      <c r="I128" s="1">
        <v>0</v>
      </c>
      <c r="J128" s="1">
        <v>0</v>
      </c>
      <c r="K128" s="1">
        <v>410</v>
      </c>
      <c r="L128" s="1">
        <v>0</v>
      </c>
      <c r="M128" s="1">
        <v>0</v>
      </c>
      <c r="N128" s="1">
        <v>0</v>
      </c>
      <c r="P128" s="2"/>
      <c r="Q128" s="2"/>
      <c r="R128" s="2"/>
      <c r="S128" s="2"/>
      <c r="T128" s="2"/>
      <c r="U128" s="2"/>
    </row>
    <row r="129" spans="1:21" x14ac:dyDescent="0.25">
      <c r="B129" s="3">
        <v>16.45579999999989</v>
      </c>
      <c r="C129" s="3">
        <v>15.106199999999902</v>
      </c>
      <c r="D129" s="3">
        <v>1300.7148</v>
      </c>
      <c r="E129" s="3">
        <v>-21.413</v>
      </c>
      <c r="F129" s="3">
        <v>21.628599999999992</v>
      </c>
      <c r="G129" s="3">
        <v>-71.018199999999993</v>
      </c>
      <c r="I129" s="1">
        <v>0</v>
      </c>
      <c r="J129" s="1">
        <v>0</v>
      </c>
      <c r="K129" s="1">
        <v>310</v>
      </c>
      <c r="L129" s="1">
        <v>0</v>
      </c>
      <c r="M129" s="1">
        <v>0</v>
      </c>
      <c r="N129" s="1">
        <v>0</v>
      </c>
      <c r="P129" s="2"/>
      <c r="Q129" s="2"/>
      <c r="R129" s="2"/>
      <c r="S129" s="2"/>
      <c r="T129" s="2"/>
      <c r="U129" s="2"/>
    </row>
    <row r="130" spans="1:21" x14ac:dyDescent="0.25">
      <c r="B130" s="3">
        <v>15.483999999999899</v>
      </c>
      <c r="C130" s="3">
        <v>8.2072000000000003</v>
      </c>
      <c r="D130" s="3">
        <v>885.92619999999999</v>
      </c>
      <c r="E130" s="3">
        <v>-12.3462</v>
      </c>
      <c r="F130" s="3">
        <v>20.397799999999989</v>
      </c>
      <c r="G130" s="3">
        <v>-49.835599999999985</v>
      </c>
      <c r="I130" s="1">
        <v>0</v>
      </c>
      <c r="J130" s="1">
        <v>0</v>
      </c>
      <c r="K130" s="1">
        <v>210</v>
      </c>
      <c r="L130" s="1">
        <v>0</v>
      </c>
      <c r="M130" s="1">
        <v>0</v>
      </c>
      <c r="N130" s="1">
        <v>0</v>
      </c>
      <c r="P130" s="2"/>
      <c r="Q130" s="2"/>
      <c r="R130" s="2"/>
      <c r="S130" s="2"/>
      <c r="T130" s="2"/>
      <c r="U130" s="2"/>
    </row>
    <row r="131" spans="1:21" x14ac:dyDescent="0.25">
      <c r="B131" s="3">
        <v>13.873999999999899</v>
      </c>
      <c r="C131" s="3">
        <v>-2.2681999999999998</v>
      </c>
      <c r="D131" s="3">
        <v>466.07139999999998</v>
      </c>
      <c r="E131" s="3">
        <v>1.0894000000000013</v>
      </c>
      <c r="F131" s="3">
        <v>18.137399999999989</v>
      </c>
      <c r="G131" s="3">
        <v>-28.36160000000099</v>
      </c>
      <c r="I131" s="1">
        <v>0</v>
      </c>
      <c r="J131" s="1">
        <v>0</v>
      </c>
      <c r="K131" s="1">
        <v>110</v>
      </c>
      <c r="L131" s="1">
        <v>0</v>
      </c>
      <c r="M131" s="1">
        <v>0</v>
      </c>
      <c r="N131" s="1">
        <v>0</v>
      </c>
      <c r="P131" s="2"/>
      <c r="Q131" s="2"/>
      <c r="R131" s="2"/>
      <c r="S131" s="2"/>
      <c r="T131" s="2"/>
      <c r="U131" s="2"/>
    </row>
    <row r="132" spans="1:21" x14ac:dyDescent="0.25">
      <c r="B132" s="3">
        <v>-8.860000000010082E-2</v>
      </c>
      <c r="C132" s="3">
        <v>-0.13300000000000001</v>
      </c>
      <c r="D132" s="3">
        <v>4.7599999999999199E-2</v>
      </c>
      <c r="E132" s="3">
        <v>0.27079999999989823</v>
      </c>
      <c r="F132" s="3">
        <v>6.4199999999989821E-2</v>
      </c>
      <c r="G132" s="3">
        <v>1.5938000000000159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P132" s="2"/>
      <c r="Q132" s="2"/>
      <c r="R132" s="2"/>
      <c r="S132" s="2"/>
      <c r="T132" s="2"/>
      <c r="U132" s="2"/>
    </row>
    <row r="133" spans="1:21" x14ac:dyDescent="0.25">
      <c r="A133">
        <v>1</v>
      </c>
      <c r="B133" s="3">
        <v>0</v>
      </c>
      <c r="C133" s="3">
        <v>0</v>
      </c>
      <c r="D133" s="3">
        <v>0</v>
      </c>
      <c r="E133" s="3">
        <v>0</v>
      </c>
      <c r="F133" s="3">
        <v>0</v>
      </c>
      <c r="G133" s="3">
        <v>0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P133" s="2"/>
      <c r="Q133" s="2"/>
      <c r="R133" s="2"/>
      <c r="S133" s="2"/>
      <c r="T133" s="2"/>
      <c r="U133" s="2"/>
    </row>
    <row r="134" spans="1:21" x14ac:dyDescent="0.25">
      <c r="B134" s="3">
        <v>21.634399999999999</v>
      </c>
      <c r="C134" s="3">
        <v>637.39020000000005</v>
      </c>
      <c r="D134" s="3">
        <v>-48.090399999999903</v>
      </c>
      <c r="E134" s="3">
        <v>-700.83559999999898</v>
      </c>
      <c r="F134" s="3">
        <v>-12.728200000000012</v>
      </c>
      <c r="G134" s="3">
        <v>-24.351600000000005</v>
      </c>
      <c r="I134" s="1">
        <v>0</v>
      </c>
      <c r="J134" s="1">
        <v>-60</v>
      </c>
      <c r="K134" s="1">
        <v>0</v>
      </c>
      <c r="L134" s="1">
        <v>3</v>
      </c>
      <c r="M134" s="1">
        <v>0</v>
      </c>
      <c r="N134" s="1">
        <v>0</v>
      </c>
      <c r="P134" s="2"/>
      <c r="Q134" s="2"/>
      <c r="R134" s="2"/>
      <c r="S134" s="2"/>
      <c r="T134" s="2"/>
      <c r="U134" s="2"/>
    </row>
    <row r="135" spans="1:21" x14ac:dyDescent="0.25">
      <c r="B135" s="3">
        <v>37.883400000000002</v>
      </c>
      <c r="C135" s="3">
        <v>1166.74</v>
      </c>
      <c r="D135" s="3">
        <v>-86.625599999999991</v>
      </c>
      <c r="E135" s="3">
        <v>-1281.9380000000001</v>
      </c>
      <c r="F135" s="3">
        <v>-25.60680000000001</v>
      </c>
      <c r="G135" s="3">
        <v>-60.951600000000013</v>
      </c>
      <c r="I135" s="1">
        <v>0</v>
      </c>
      <c r="J135" s="1">
        <v>-110</v>
      </c>
      <c r="K135" s="1">
        <v>0</v>
      </c>
      <c r="L135" s="1">
        <v>5.5</v>
      </c>
      <c r="M135" s="1">
        <v>0</v>
      </c>
      <c r="N135" s="1">
        <v>0</v>
      </c>
      <c r="P135" s="2"/>
      <c r="Q135" s="2"/>
      <c r="R135" s="2"/>
      <c r="S135" s="2"/>
      <c r="T135" s="2"/>
      <c r="U135" s="2"/>
    </row>
    <row r="136" spans="1:21" x14ac:dyDescent="0.25">
      <c r="B136" s="3">
        <v>54.710399999999893</v>
      </c>
      <c r="C136" s="3">
        <v>1697.2257999999999</v>
      </c>
      <c r="D136" s="3">
        <v>-127.29539999999999</v>
      </c>
      <c r="E136" s="3">
        <v>-1864.4489999999901</v>
      </c>
      <c r="F136" s="3">
        <v>-37.312399999999904</v>
      </c>
      <c r="G136" s="3">
        <v>-92.440000000000111</v>
      </c>
      <c r="I136" s="1">
        <v>0</v>
      </c>
      <c r="J136" s="1">
        <v>-160</v>
      </c>
      <c r="K136" s="1">
        <v>0</v>
      </c>
      <c r="L136" s="1">
        <v>8</v>
      </c>
      <c r="M136" s="1">
        <v>0</v>
      </c>
      <c r="N136" s="1">
        <v>0</v>
      </c>
      <c r="P136" s="2"/>
      <c r="Q136" s="2"/>
      <c r="R136" s="2"/>
      <c r="S136" s="2"/>
      <c r="T136" s="2"/>
      <c r="U136" s="2"/>
    </row>
    <row r="137" spans="1:21" x14ac:dyDescent="0.25">
      <c r="B137" s="3">
        <v>71.109799999999893</v>
      </c>
      <c r="C137" s="3">
        <v>2225.5893999999998</v>
      </c>
      <c r="D137" s="3">
        <v>-167.16460000000001</v>
      </c>
      <c r="E137" s="3">
        <v>-2444.9843999999998</v>
      </c>
      <c r="F137" s="3">
        <v>-49.348000000000006</v>
      </c>
      <c r="G137" s="3">
        <v>-122.2946000000001</v>
      </c>
      <c r="I137" s="1">
        <v>0</v>
      </c>
      <c r="J137" s="1">
        <v>-210</v>
      </c>
      <c r="K137" s="1">
        <v>0</v>
      </c>
      <c r="L137" s="1">
        <v>10.5</v>
      </c>
      <c r="M137" s="1">
        <v>0</v>
      </c>
      <c r="N137" s="1">
        <v>0</v>
      </c>
      <c r="P137" s="2"/>
      <c r="Q137" s="2"/>
      <c r="R137" s="2"/>
      <c r="S137" s="2"/>
      <c r="T137" s="2"/>
      <c r="U137" s="2"/>
    </row>
    <row r="138" spans="1:21" x14ac:dyDescent="0.25">
      <c r="B138" s="3">
        <v>54.780600000000007</v>
      </c>
      <c r="C138" s="3">
        <v>1699.0046</v>
      </c>
      <c r="D138" s="3">
        <v>-126.68399999999998</v>
      </c>
      <c r="E138" s="3">
        <v>-1866.1489999999901</v>
      </c>
      <c r="F138" s="3">
        <v>-37.654800000000009</v>
      </c>
      <c r="G138" s="3">
        <v>-91.044000000000011</v>
      </c>
      <c r="I138" s="1">
        <v>0</v>
      </c>
      <c r="J138" s="1">
        <v>-160</v>
      </c>
      <c r="K138" s="1">
        <v>0</v>
      </c>
      <c r="L138" s="1">
        <v>8</v>
      </c>
      <c r="M138" s="1">
        <v>0</v>
      </c>
      <c r="N138" s="1">
        <v>0</v>
      </c>
      <c r="P138" s="2"/>
      <c r="Q138" s="2"/>
      <c r="R138" s="2"/>
      <c r="S138" s="2"/>
      <c r="T138" s="2"/>
      <c r="U138" s="2"/>
    </row>
    <row r="139" spans="1:21" x14ac:dyDescent="0.25">
      <c r="B139" s="3">
        <v>38.267599999999902</v>
      </c>
      <c r="C139" s="3">
        <v>1169.194</v>
      </c>
      <c r="D139" s="3">
        <v>-86.405199999998999</v>
      </c>
      <c r="E139" s="3">
        <v>-1283.2466000000002</v>
      </c>
      <c r="F139" s="3">
        <v>-25.166000000000015</v>
      </c>
      <c r="G139" s="3">
        <v>-56.297000000000011</v>
      </c>
      <c r="I139" s="1">
        <v>0</v>
      </c>
      <c r="J139" s="1">
        <v>-110</v>
      </c>
      <c r="K139" s="1">
        <v>0</v>
      </c>
      <c r="L139" s="1">
        <v>5.5</v>
      </c>
      <c r="M139" s="1">
        <v>0</v>
      </c>
      <c r="N139" s="1">
        <v>0</v>
      </c>
      <c r="P139" s="2"/>
      <c r="Q139" s="2"/>
      <c r="R139" s="2"/>
      <c r="S139" s="2"/>
      <c r="T139" s="2"/>
      <c r="U139" s="2"/>
    </row>
    <row r="140" spans="1:21" x14ac:dyDescent="0.25">
      <c r="B140" s="3">
        <v>22.1676</v>
      </c>
      <c r="C140" s="3">
        <v>638.69320000000005</v>
      </c>
      <c r="D140" s="3">
        <v>-48.230999999999995</v>
      </c>
      <c r="E140" s="3">
        <v>-699.94179999999994</v>
      </c>
      <c r="F140" s="3">
        <v>-11.83860000000001</v>
      </c>
      <c r="G140" s="3">
        <v>-16.929200000000009</v>
      </c>
      <c r="I140" s="1">
        <v>0</v>
      </c>
      <c r="J140" s="1">
        <v>-60</v>
      </c>
      <c r="K140" s="1">
        <v>0</v>
      </c>
      <c r="L140" s="1">
        <v>3</v>
      </c>
      <c r="M140" s="1">
        <v>0</v>
      </c>
      <c r="N140" s="1">
        <v>0</v>
      </c>
      <c r="P140" s="2"/>
      <c r="Q140" s="2"/>
      <c r="R140" s="2"/>
      <c r="S140" s="2"/>
      <c r="T140" s="2"/>
      <c r="U140" s="2"/>
    </row>
    <row r="141" spans="1:21" x14ac:dyDescent="0.25">
      <c r="B141" s="3">
        <v>0.26420000000000066</v>
      </c>
      <c r="C141" s="3">
        <v>-1.4324000000000001</v>
      </c>
      <c r="D141" s="3">
        <v>0.29860000000000042</v>
      </c>
      <c r="E141" s="3">
        <v>3.5999999999999979</v>
      </c>
      <c r="F141" s="3">
        <v>0.12179999999998969</v>
      </c>
      <c r="G141" s="3">
        <v>0.21359999999998536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  <c r="N141" s="1">
        <v>0</v>
      </c>
      <c r="P141" s="2"/>
      <c r="Q141" s="2"/>
      <c r="R141" s="2"/>
      <c r="S141" s="2"/>
      <c r="T141" s="2"/>
      <c r="U141" s="2"/>
    </row>
    <row r="142" spans="1:21" x14ac:dyDescent="0.25">
      <c r="B142" s="3">
        <v>21.941600000000001</v>
      </c>
      <c r="C142" s="3">
        <v>638.02260000000001</v>
      </c>
      <c r="D142" s="3">
        <v>-48.042000000000002</v>
      </c>
      <c r="E142" s="3">
        <v>-699.48699999999997</v>
      </c>
      <c r="F142" s="3">
        <v>-12.697600000000012</v>
      </c>
      <c r="G142" s="3">
        <v>-23.528600000000012</v>
      </c>
      <c r="I142" s="1">
        <v>0</v>
      </c>
      <c r="J142" s="1">
        <v>-60</v>
      </c>
      <c r="K142" s="1">
        <v>0</v>
      </c>
      <c r="L142" s="1">
        <v>3</v>
      </c>
      <c r="M142" s="1">
        <v>0</v>
      </c>
      <c r="N142" s="1">
        <v>0</v>
      </c>
      <c r="P142" s="2"/>
      <c r="Q142" s="2"/>
      <c r="R142" s="2"/>
      <c r="S142" s="2"/>
      <c r="T142" s="2"/>
      <c r="U142" s="2"/>
    </row>
    <row r="143" spans="1:21" x14ac:dyDescent="0.25">
      <c r="B143" s="3">
        <v>37.921399999999998</v>
      </c>
      <c r="C143" s="3">
        <v>1167.1119999999999</v>
      </c>
      <c r="D143" s="3">
        <v>-86.613799999999998</v>
      </c>
      <c r="E143" s="3">
        <v>-1281.0264</v>
      </c>
      <c r="F143" s="3">
        <v>-25.249200000000013</v>
      </c>
      <c r="G143" s="3">
        <v>-61.3536</v>
      </c>
      <c r="I143" s="1">
        <v>0</v>
      </c>
      <c r="J143" s="1">
        <v>-110</v>
      </c>
      <c r="K143" s="1">
        <v>0</v>
      </c>
      <c r="L143" s="1">
        <v>5.5</v>
      </c>
      <c r="M143" s="1">
        <v>0</v>
      </c>
      <c r="N143" s="1">
        <v>0</v>
      </c>
      <c r="P143" s="2"/>
      <c r="Q143" s="2"/>
      <c r="R143" s="2"/>
      <c r="S143" s="2"/>
      <c r="T143" s="2"/>
      <c r="U143" s="2"/>
    </row>
    <row r="144" spans="1:21" x14ac:dyDescent="0.25">
      <c r="B144" s="3">
        <v>54.573800000000006</v>
      </c>
      <c r="C144" s="3">
        <v>1696.8673999999899</v>
      </c>
      <c r="D144" s="3">
        <v>-126.81759999999998</v>
      </c>
      <c r="E144" s="3">
        <v>-1863.7144000000001</v>
      </c>
      <c r="F144" s="3">
        <v>-37.657600000000009</v>
      </c>
      <c r="G144" s="3">
        <v>-93.895600000000002</v>
      </c>
      <c r="I144" s="1">
        <v>0</v>
      </c>
      <c r="J144" s="1">
        <v>-160</v>
      </c>
      <c r="K144" s="1">
        <v>0</v>
      </c>
      <c r="L144" s="1">
        <v>8</v>
      </c>
      <c r="M144" s="1">
        <v>0</v>
      </c>
      <c r="N144" s="1">
        <v>0</v>
      </c>
      <c r="P144" s="2"/>
      <c r="Q144" s="2"/>
      <c r="R144" s="2"/>
      <c r="S144" s="2"/>
      <c r="T144" s="2"/>
      <c r="U144" s="2"/>
    </row>
    <row r="145" spans="1:21" x14ac:dyDescent="0.25">
      <c r="B145" s="3">
        <v>71.319599999999994</v>
      </c>
      <c r="C145" s="3">
        <v>2227.4679999999998</v>
      </c>
      <c r="D145" s="3">
        <v>-166.44739999999902</v>
      </c>
      <c r="E145" s="3">
        <v>-2446.5733999999998</v>
      </c>
      <c r="F145" s="3">
        <v>-49.77320000000001</v>
      </c>
      <c r="G145" s="3">
        <v>-124.837</v>
      </c>
      <c r="I145" s="1">
        <v>0</v>
      </c>
      <c r="J145" s="1">
        <v>-210</v>
      </c>
      <c r="K145" s="1">
        <v>0</v>
      </c>
      <c r="L145" s="1">
        <v>10.5</v>
      </c>
      <c r="M145" s="1">
        <v>0</v>
      </c>
      <c r="N145" s="1">
        <v>0</v>
      </c>
      <c r="P145" s="2"/>
      <c r="Q145" s="2"/>
      <c r="R145" s="2"/>
      <c r="S145" s="2"/>
      <c r="T145" s="2"/>
      <c r="U145" s="2"/>
    </row>
    <row r="146" spans="1:21" x14ac:dyDescent="0.25">
      <c r="B146" s="3">
        <v>54.780600000000007</v>
      </c>
      <c r="C146" s="3">
        <v>1699.0046</v>
      </c>
      <c r="D146" s="3">
        <v>-126.68399999999998</v>
      </c>
      <c r="E146" s="3">
        <v>-1866.1489999999901</v>
      </c>
      <c r="F146" s="3">
        <v>-37.654800000000009</v>
      </c>
      <c r="G146" s="3">
        <v>-91.044000000000011</v>
      </c>
      <c r="I146" s="1">
        <v>0</v>
      </c>
      <c r="J146" s="1">
        <v>-160</v>
      </c>
      <c r="K146" s="1">
        <v>0</v>
      </c>
      <c r="L146" s="1">
        <v>8</v>
      </c>
      <c r="M146" s="1">
        <v>0</v>
      </c>
      <c r="N146" s="1">
        <v>0</v>
      </c>
      <c r="P146" s="2"/>
      <c r="Q146" s="2"/>
      <c r="R146" s="2"/>
      <c r="S146" s="2"/>
      <c r="T146" s="2"/>
      <c r="U146" s="2"/>
    </row>
    <row r="147" spans="1:21" x14ac:dyDescent="0.25">
      <c r="B147" s="3">
        <v>38.267599999999902</v>
      </c>
      <c r="C147" s="3">
        <v>1169.194</v>
      </c>
      <c r="D147" s="3">
        <v>-86.405199999998999</v>
      </c>
      <c r="E147" s="3">
        <v>-1283.2466000000002</v>
      </c>
      <c r="F147" s="3">
        <v>-25.166000000000015</v>
      </c>
      <c r="G147" s="3">
        <v>-56.297000000000011</v>
      </c>
      <c r="I147" s="1">
        <v>0</v>
      </c>
      <c r="J147" s="1">
        <v>-110</v>
      </c>
      <c r="K147" s="1">
        <v>0</v>
      </c>
      <c r="L147" s="1">
        <v>5.5</v>
      </c>
      <c r="M147" s="1">
        <v>0</v>
      </c>
      <c r="N147" s="1">
        <v>0</v>
      </c>
      <c r="P147" s="2"/>
      <c r="Q147" s="2"/>
      <c r="R147" s="2"/>
      <c r="S147" s="2"/>
      <c r="T147" s="2"/>
      <c r="U147" s="2"/>
    </row>
    <row r="148" spans="1:21" x14ac:dyDescent="0.25">
      <c r="B148" s="3">
        <v>22.1676</v>
      </c>
      <c r="C148" s="3">
        <v>638.69320000000005</v>
      </c>
      <c r="D148" s="3">
        <v>-48.230999999999995</v>
      </c>
      <c r="E148" s="3">
        <v>-699.94179999999994</v>
      </c>
      <c r="F148" s="3">
        <v>-11.83860000000001</v>
      </c>
      <c r="G148" s="3">
        <v>-16.929200000000009</v>
      </c>
      <c r="I148" s="1">
        <v>0</v>
      </c>
      <c r="J148" s="1">
        <v>-60</v>
      </c>
      <c r="K148" s="1">
        <v>0</v>
      </c>
      <c r="L148" s="1">
        <v>3</v>
      </c>
      <c r="M148" s="1">
        <v>0</v>
      </c>
      <c r="N148" s="1">
        <v>0</v>
      </c>
      <c r="P148" s="2"/>
      <c r="Q148" s="2"/>
      <c r="R148" s="2"/>
      <c r="S148" s="2"/>
      <c r="T148" s="2"/>
      <c r="U148" s="2"/>
    </row>
    <row r="149" spans="1:21" x14ac:dyDescent="0.25">
      <c r="B149" s="3">
        <v>0.26420000000000066</v>
      </c>
      <c r="C149" s="3">
        <v>-1.4324000000000001</v>
      </c>
      <c r="D149" s="3">
        <v>0.29860000000000042</v>
      </c>
      <c r="E149" s="3">
        <v>3.5999999999999979</v>
      </c>
      <c r="F149" s="3">
        <v>0.12179999999998969</v>
      </c>
      <c r="G149" s="3">
        <v>0.21359999999998536</v>
      </c>
      <c r="I149" s="1">
        <v>0</v>
      </c>
      <c r="J149" s="1">
        <v>0</v>
      </c>
      <c r="K149" s="1">
        <v>0</v>
      </c>
      <c r="L149" s="1">
        <v>0</v>
      </c>
      <c r="M149" s="1">
        <v>0</v>
      </c>
      <c r="N149" s="1">
        <v>0</v>
      </c>
      <c r="P149" s="2"/>
      <c r="Q149" s="2"/>
      <c r="R149" s="2"/>
      <c r="S149" s="2"/>
      <c r="T149" s="2"/>
      <c r="U149" s="2"/>
    </row>
    <row r="150" spans="1:21" x14ac:dyDescent="0.25">
      <c r="B150" s="3">
        <v>21.634399999999999</v>
      </c>
      <c r="C150" s="3">
        <v>637.39020000000005</v>
      </c>
      <c r="D150" s="3">
        <v>-48.090399999999903</v>
      </c>
      <c r="E150" s="3">
        <v>-700.83559999999898</v>
      </c>
      <c r="F150" s="3">
        <v>-12.728200000000012</v>
      </c>
      <c r="G150" s="3">
        <v>-24.351600000000005</v>
      </c>
      <c r="I150" s="1">
        <v>0</v>
      </c>
      <c r="J150" s="1">
        <v>-60</v>
      </c>
      <c r="K150" s="1">
        <v>0</v>
      </c>
      <c r="L150" s="1">
        <v>3</v>
      </c>
      <c r="M150" s="1">
        <v>0</v>
      </c>
      <c r="N150" s="1">
        <v>0</v>
      </c>
      <c r="P150" s="2"/>
      <c r="Q150" s="2"/>
      <c r="R150" s="2"/>
      <c r="S150" s="2"/>
      <c r="T150" s="2"/>
      <c r="U150" s="2"/>
    </row>
    <row r="151" spans="1:21" x14ac:dyDescent="0.25">
      <c r="B151" s="3">
        <v>37.883400000000002</v>
      </c>
      <c r="C151" s="3">
        <v>1166.74</v>
      </c>
      <c r="D151" s="3">
        <v>-86.625599999999991</v>
      </c>
      <c r="E151" s="3">
        <v>-1281.9380000000001</v>
      </c>
      <c r="F151" s="3">
        <v>-25.60680000000001</v>
      </c>
      <c r="G151" s="3">
        <v>-60.951600000000013</v>
      </c>
      <c r="I151" s="1">
        <v>0</v>
      </c>
      <c r="J151" s="1">
        <v>-110</v>
      </c>
      <c r="K151" s="1">
        <v>0</v>
      </c>
      <c r="L151" s="1">
        <v>5.5</v>
      </c>
      <c r="M151" s="1">
        <v>0</v>
      </c>
      <c r="N151" s="1">
        <v>0</v>
      </c>
      <c r="P151" s="2"/>
      <c r="Q151" s="2"/>
      <c r="R151" s="2"/>
      <c r="S151" s="2"/>
      <c r="T151" s="2"/>
      <c r="U151" s="2"/>
    </row>
    <row r="152" spans="1:21" x14ac:dyDescent="0.25">
      <c r="B152" s="3">
        <v>54.710399999999893</v>
      </c>
      <c r="C152" s="3">
        <v>1697.2257999999999</v>
      </c>
      <c r="D152" s="3">
        <v>-127.29539999999999</v>
      </c>
      <c r="E152" s="3">
        <v>-1864.4489999999901</v>
      </c>
      <c r="F152" s="3">
        <v>-37.312399999999904</v>
      </c>
      <c r="G152" s="3">
        <v>-92.440000000000111</v>
      </c>
      <c r="I152" s="1">
        <v>0</v>
      </c>
      <c r="J152" s="1">
        <v>-160</v>
      </c>
      <c r="K152" s="1">
        <v>0</v>
      </c>
      <c r="L152" s="1">
        <v>8</v>
      </c>
      <c r="M152" s="1">
        <v>0</v>
      </c>
      <c r="N152" s="1">
        <v>0</v>
      </c>
      <c r="P152" s="2"/>
      <c r="Q152" s="2"/>
      <c r="R152" s="2"/>
      <c r="S152" s="2"/>
      <c r="T152" s="2"/>
      <c r="U152" s="2"/>
    </row>
    <row r="153" spans="1:21" x14ac:dyDescent="0.25">
      <c r="B153" s="3">
        <v>71.109799999999893</v>
      </c>
      <c r="C153" s="3">
        <v>2225.5893999999998</v>
      </c>
      <c r="D153" s="3">
        <v>-167.16460000000001</v>
      </c>
      <c r="E153" s="3">
        <v>-2444.9843999999998</v>
      </c>
      <c r="F153" s="3">
        <v>-49.348000000000006</v>
      </c>
      <c r="G153" s="3">
        <v>-122.2946000000001</v>
      </c>
      <c r="I153" s="1">
        <v>0</v>
      </c>
      <c r="J153" s="1">
        <v>-210</v>
      </c>
      <c r="K153" s="1">
        <v>0</v>
      </c>
      <c r="L153" s="1">
        <v>10.5</v>
      </c>
      <c r="M153" s="1">
        <v>0</v>
      </c>
      <c r="N153" s="1">
        <v>0</v>
      </c>
      <c r="P153" s="2"/>
      <c r="Q153" s="2"/>
      <c r="R153" s="2"/>
      <c r="S153" s="2"/>
      <c r="T153" s="2"/>
      <c r="U153" s="2"/>
    </row>
    <row r="154" spans="1:21" x14ac:dyDescent="0.25">
      <c r="B154" s="3">
        <v>54.780600000000007</v>
      </c>
      <c r="C154" s="3">
        <v>1699.0046</v>
      </c>
      <c r="D154" s="3">
        <v>-126.68399999999998</v>
      </c>
      <c r="E154" s="3">
        <v>-1866.1489999999901</v>
      </c>
      <c r="F154" s="3">
        <v>-37.654800000000009</v>
      </c>
      <c r="G154" s="3">
        <v>-91.044000000000011</v>
      </c>
      <c r="I154" s="1">
        <v>0</v>
      </c>
      <c r="J154" s="1">
        <v>-160</v>
      </c>
      <c r="K154" s="1">
        <v>0</v>
      </c>
      <c r="L154" s="1">
        <v>8</v>
      </c>
      <c r="M154" s="1">
        <v>0</v>
      </c>
      <c r="N154" s="1">
        <v>0</v>
      </c>
      <c r="P154" s="2"/>
      <c r="Q154" s="2"/>
      <c r="R154" s="2"/>
      <c r="S154" s="2"/>
      <c r="T154" s="2"/>
      <c r="U154" s="2"/>
    </row>
    <row r="155" spans="1:21" x14ac:dyDescent="0.25">
      <c r="B155" s="3">
        <v>38.267599999999902</v>
      </c>
      <c r="C155" s="3">
        <v>1169.194</v>
      </c>
      <c r="D155" s="3">
        <v>-86.405199999998999</v>
      </c>
      <c r="E155" s="3">
        <v>-1283.2466000000002</v>
      </c>
      <c r="F155" s="3">
        <v>-25.166000000000015</v>
      </c>
      <c r="G155" s="3">
        <v>-56.297000000000011</v>
      </c>
      <c r="I155" s="1">
        <v>0</v>
      </c>
      <c r="J155" s="1">
        <v>-110</v>
      </c>
      <c r="K155" s="1">
        <v>0</v>
      </c>
      <c r="L155" s="1">
        <v>5.5</v>
      </c>
      <c r="M155" s="1">
        <v>0</v>
      </c>
      <c r="N155" s="1">
        <v>0</v>
      </c>
      <c r="P155" s="2"/>
      <c r="Q155" s="2"/>
      <c r="R155" s="2"/>
      <c r="S155" s="2"/>
      <c r="T155" s="2"/>
      <c r="U155" s="2"/>
    </row>
    <row r="156" spans="1:21" x14ac:dyDescent="0.25">
      <c r="B156" s="3">
        <v>22.1676</v>
      </c>
      <c r="C156" s="3">
        <v>638.69320000000005</v>
      </c>
      <c r="D156" s="3">
        <v>-48.230999999999995</v>
      </c>
      <c r="E156" s="3">
        <v>-699.94179999999994</v>
      </c>
      <c r="F156" s="3">
        <v>-11.83860000000001</v>
      </c>
      <c r="G156" s="3">
        <v>-16.929200000000009</v>
      </c>
      <c r="I156" s="1">
        <v>0</v>
      </c>
      <c r="J156" s="1">
        <v>-60</v>
      </c>
      <c r="K156" s="1">
        <v>0</v>
      </c>
      <c r="L156" s="1">
        <v>3</v>
      </c>
      <c r="M156" s="1">
        <v>0</v>
      </c>
      <c r="N156" s="1">
        <v>0</v>
      </c>
      <c r="P156" s="2"/>
      <c r="Q156" s="2"/>
      <c r="R156" s="2"/>
      <c r="S156" s="2"/>
      <c r="T156" s="2"/>
      <c r="U156" s="2"/>
    </row>
    <row r="157" spans="1:21" x14ac:dyDescent="0.25">
      <c r="B157" s="3">
        <v>0.26420000000000066</v>
      </c>
      <c r="C157" s="3">
        <v>-1.4324000000000001</v>
      </c>
      <c r="D157" s="3">
        <v>0.29860000000000042</v>
      </c>
      <c r="E157" s="3">
        <v>3.5999999999999979</v>
      </c>
      <c r="F157" s="3">
        <v>0.12179999999998969</v>
      </c>
      <c r="G157" s="3">
        <v>0.21359999999998536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  <c r="N157" s="1">
        <v>0</v>
      </c>
      <c r="P157" s="2"/>
      <c r="Q157" s="2"/>
      <c r="R157" s="2"/>
      <c r="S157" s="2"/>
      <c r="T157" s="2"/>
      <c r="U157" s="2"/>
    </row>
    <row r="158" spans="1:21" x14ac:dyDescent="0.25">
      <c r="A158">
        <v>1</v>
      </c>
      <c r="B158" s="3">
        <v>0</v>
      </c>
      <c r="C158" s="3">
        <v>0</v>
      </c>
      <c r="D158" s="3">
        <v>0</v>
      </c>
      <c r="E158" s="3">
        <v>0</v>
      </c>
      <c r="F158" s="3">
        <v>0</v>
      </c>
      <c r="G158" s="3">
        <v>0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  <c r="N158" s="1">
        <v>0</v>
      </c>
      <c r="P158" s="2"/>
      <c r="Q158" s="2"/>
      <c r="R158" s="2"/>
      <c r="S158" s="2"/>
      <c r="T158" s="2"/>
      <c r="U158" s="2"/>
    </row>
    <row r="159" spans="1:21" x14ac:dyDescent="0.25">
      <c r="B159" s="3">
        <v>-22.528200000000002</v>
      </c>
      <c r="C159" s="3">
        <v>-639.01439999999991</v>
      </c>
      <c r="D159" s="3">
        <v>48.888799999999996</v>
      </c>
      <c r="E159" s="3">
        <v>702.74379999999906</v>
      </c>
      <c r="F159" s="3">
        <v>11.940200000000001</v>
      </c>
      <c r="G159" s="3">
        <v>2.2553999999999803</v>
      </c>
      <c r="I159" s="1">
        <v>0</v>
      </c>
      <c r="J159" s="1">
        <v>60</v>
      </c>
      <c r="K159" s="1">
        <v>0</v>
      </c>
      <c r="L159" s="1">
        <v>-3</v>
      </c>
      <c r="M159" s="1">
        <v>0</v>
      </c>
      <c r="N159" s="1">
        <v>0</v>
      </c>
      <c r="P159" s="2"/>
      <c r="Q159" s="2"/>
      <c r="R159" s="2"/>
      <c r="S159" s="2"/>
      <c r="T159" s="2"/>
      <c r="U159" s="2"/>
    </row>
    <row r="160" spans="1:21" x14ac:dyDescent="0.25">
      <c r="B160" s="3">
        <v>-41.954999999999899</v>
      </c>
      <c r="C160" s="3">
        <v>-1166.53159999999</v>
      </c>
      <c r="D160" s="3">
        <v>87.363399999999984</v>
      </c>
      <c r="E160" s="3">
        <v>1281.8108</v>
      </c>
      <c r="F160" s="3">
        <v>21.1128</v>
      </c>
      <c r="G160" s="3">
        <v>23.742999999999995</v>
      </c>
      <c r="I160" s="1">
        <v>0</v>
      </c>
      <c r="J160" s="1">
        <v>110</v>
      </c>
      <c r="K160" s="1">
        <v>0</v>
      </c>
      <c r="L160" s="1">
        <v>-5.5</v>
      </c>
      <c r="M160" s="1">
        <v>0</v>
      </c>
      <c r="N160" s="1">
        <v>0</v>
      </c>
      <c r="P160" s="2"/>
      <c r="Q160" s="2"/>
      <c r="R160" s="2"/>
      <c r="S160" s="2"/>
      <c r="T160" s="2"/>
      <c r="U160" s="2"/>
    </row>
    <row r="161" spans="2:21" x14ac:dyDescent="0.25">
      <c r="B161" s="3">
        <v>-60.748399999999904</v>
      </c>
      <c r="C161" s="3">
        <v>-1696.6864</v>
      </c>
      <c r="D161" s="3">
        <v>127.9204</v>
      </c>
      <c r="E161" s="3">
        <v>1863.9521999999999</v>
      </c>
      <c r="F161" s="3">
        <v>30.633199999999999</v>
      </c>
      <c r="G161" s="3">
        <v>37.6738</v>
      </c>
      <c r="I161" s="1">
        <v>0</v>
      </c>
      <c r="J161" s="1">
        <v>160</v>
      </c>
      <c r="K161" s="1">
        <v>0</v>
      </c>
      <c r="L161" s="1">
        <v>-8</v>
      </c>
      <c r="M161" s="1">
        <v>0</v>
      </c>
      <c r="N161" s="1">
        <v>0</v>
      </c>
      <c r="P161" s="2"/>
      <c r="Q161" s="2"/>
      <c r="R161" s="2"/>
      <c r="S161" s="2"/>
      <c r="T161" s="2"/>
      <c r="U161" s="2"/>
    </row>
    <row r="162" spans="2:21" x14ac:dyDescent="0.25">
      <c r="B162" s="3">
        <v>-79.69319999999999</v>
      </c>
      <c r="C162" s="3">
        <v>-2227.4780000000001</v>
      </c>
      <c r="D162" s="3">
        <v>168.09040000000002</v>
      </c>
      <c r="E162" s="3">
        <v>2447.0006000000003</v>
      </c>
      <c r="F162" s="3">
        <v>40.507200000000005</v>
      </c>
      <c r="G162" s="3">
        <v>50.757199999999983</v>
      </c>
      <c r="I162" s="1">
        <v>0</v>
      </c>
      <c r="J162" s="1">
        <v>210</v>
      </c>
      <c r="K162" s="1">
        <v>0</v>
      </c>
      <c r="L162" s="1">
        <v>-10.5</v>
      </c>
      <c r="M162" s="1">
        <v>0</v>
      </c>
      <c r="N162" s="1">
        <v>0</v>
      </c>
      <c r="P162" s="2"/>
      <c r="Q162" s="2"/>
      <c r="R162" s="2"/>
      <c r="S162" s="2"/>
      <c r="T162" s="2"/>
      <c r="U162" s="2"/>
    </row>
    <row r="163" spans="2:21" x14ac:dyDescent="0.25">
      <c r="B163" s="3">
        <v>-60.61</v>
      </c>
      <c r="C163" s="3">
        <v>-1697.1183999999901</v>
      </c>
      <c r="D163" s="3">
        <v>128.8948</v>
      </c>
      <c r="E163" s="3">
        <v>1863.4525999999998</v>
      </c>
      <c r="F163" s="3">
        <v>30.66</v>
      </c>
      <c r="G163" s="3">
        <v>38.427999999999997</v>
      </c>
      <c r="I163" s="1">
        <v>0</v>
      </c>
      <c r="J163" s="1">
        <v>160</v>
      </c>
      <c r="K163" s="1">
        <v>0</v>
      </c>
      <c r="L163" s="1">
        <v>-8</v>
      </c>
      <c r="M163" s="1">
        <v>0</v>
      </c>
      <c r="N163" s="1">
        <v>0</v>
      </c>
      <c r="P163" s="2"/>
      <c r="Q163" s="2"/>
      <c r="R163" s="2"/>
      <c r="S163" s="2"/>
      <c r="T163" s="2"/>
      <c r="U163" s="2"/>
    </row>
    <row r="164" spans="2:21" x14ac:dyDescent="0.25">
      <c r="B164" s="3">
        <v>-41.966399999999908</v>
      </c>
      <c r="C164" s="3">
        <v>-1167.5029999999999</v>
      </c>
      <c r="D164" s="3">
        <v>87.572399999999988</v>
      </c>
      <c r="E164" s="3">
        <v>1281.3997999999999</v>
      </c>
      <c r="F164" s="3">
        <v>20.8476</v>
      </c>
      <c r="G164" s="3">
        <v>23.486599999999981</v>
      </c>
      <c r="I164" s="1">
        <v>0</v>
      </c>
      <c r="J164" s="1">
        <v>110</v>
      </c>
      <c r="K164" s="1">
        <v>0</v>
      </c>
      <c r="L164" s="1">
        <v>-5.5</v>
      </c>
      <c r="M164" s="1">
        <v>0</v>
      </c>
      <c r="N164" s="1">
        <v>0</v>
      </c>
      <c r="P164" s="2"/>
      <c r="Q164" s="2"/>
      <c r="R164" s="2"/>
      <c r="S164" s="2"/>
      <c r="T164" s="2"/>
      <c r="U164" s="2"/>
    </row>
    <row r="165" spans="2:21" x14ac:dyDescent="0.25">
      <c r="B165" s="3">
        <v>-22.485400000000002</v>
      </c>
      <c r="C165" s="3">
        <v>-638.59959999999899</v>
      </c>
      <c r="D165" s="3">
        <v>47.677599999999998</v>
      </c>
      <c r="E165" s="3">
        <v>699.31320000000005</v>
      </c>
      <c r="F165" s="3">
        <v>11.8048</v>
      </c>
      <c r="G165" s="3">
        <v>-0.38439999999999941</v>
      </c>
      <c r="I165" s="1">
        <v>0</v>
      </c>
      <c r="J165" s="1">
        <v>60</v>
      </c>
      <c r="K165" s="1">
        <v>0</v>
      </c>
      <c r="L165" s="1">
        <v>-3</v>
      </c>
      <c r="M165" s="1">
        <v>0</v>
      </c>
      <c r="N165" s="1">
        <v>0</v>
      </c>
      <c r="P165" s="2"/>
      <c r="Q165" s="2"/>
      <c r="R165" s="2"/>
      <c r="S165" s="2"/>
      <c r="T165" s="2"/>
      <c r="U165" s="2"/>
    </row>
    <row r="166" spans="2:21" x14ac:dyDescent="0.25">
      <c r="B166" s="3">
        <v>-0.25480000000000125</v>
      </c>
      <c r="C166" s="3">
        <v>2.7197999999999896</v>
      </c>
      <c r="D166" s="3">
        <v>-0.96039999999999992</v>
      </c>
      <c r="E166" s="3">
        <v>-5.5621999999999971</v>
      </c>
      <c r="F166" s="3">
        <v>-8.7799999999999656E-2</v>
      </c>
      <c r="G166" s="3">
        <v>-1.8114000000000203</v>
      </c>
      <c r="I166" s="1">
        <v>0</v>
      </c>
      <c r="J166" s="1">
        <v>0</v>
      </c>
      <c r="K166" s="1">
        <v>0</v>
      </c>
      <c r="L166" s="1">
        <v>0</v>
      </c>
      <c r="M166" s="1">
        <v>0</v>
      </c>
      <c r="N166" s="1">
        <v>0</v>
      </c>
      <c r="P166" s="2"/>
      <c r="Q166" s="2"/>
      <c r="R166" s="2"/>
      <c r="S166" s="2"/>
      <c r="T166" s="2"/>
      <c r="U166" s="2"/>
    </row>
    <row r="167" spans="2:21" x14ac:dyDescent="0.25">
      <c r="B167" s="3">
        <v>-22.323399999999904</v>
      </c>
      <c r="C167" s="3">
        <v>-635.70499999999993</v>
      </c>
      <c r="D167" s="3">
        <v>47.901799999999895</v>
      </c>
      <c r="E167" s="3">
        <v>696.89739999999904</v>
      </c>
      <c r="F167" s="3">
        <v>11.7552</v>
      </c>
      <c r="G167" s="3">
        <v>1.930199999999985</v>
      </c>
      <c r="I167" s="1">
        <v>0</v>
      </c>
      <c r="J167" s="1">
        <v>60</v>
      </c>
      <c r="K167" s="1">
        <v>0</v>
      </c>
      <c r="L167" s="1">
        <v>-3</v>
      </c>
      <c r="M167" s="1">
        <v>0</v>
      </c>
      <c r="N167" s="1">
        <v>0</v>
      </c>
      <c r="P167" s="2"/>
      <c r="Q167" s="2"/>
      <c r="R167" s="2"/>
      <c r="S167" s="2"/>
      <c r="T167" s="2"/>
      <c r="U167" s="2"/>
    </row>
    <row r="168" spans="2:21" x14ac:dyDescent="0.25">
      <c r="B168" s="3">
        <v>-41.580200000000005</v>
      </c>
      <c r="C168" s="3">
        <v>-1163.8838000000001</v>
      </c>
      <c r="D168" s="3">
        <v>87.277600000000007</v>
      </c>
      <c r="E168" s="3">
        <v>1277.7931999999998</v>
      </c>
      <c r="F168" s="3">
        <v>20.966799999999999</v>
      </c>
      <c r="G168" s="3">
        <v>24.08159999999998</v>
      </c>
      <c r="I168" s="1">
        <v>0</v>
      </c>
      <c r="J168" s="1">
        <v>110</v>
      </c>
      <c r="K168" s="1">
        <v>0</v>
      </c>
      <c r="L168" s="1">
        <v>-5.5</v>
      </c>
      <c r="M168" s="1">
        <v>0</v>
      </c>
      <c r="N168" s="1">
        <v>0</v>
      </c>
      <c r="P168" s="2"/>
      <c r="Q168" s="2"/>
      <c r="R168" s="2"/>
      <c r="S168" s="2"/>
      <c r="T168" s="2"/>
      <c r="U168" s="2"/>
    </row>
    <row r="169" spans="2:21" x14ac:dyDescent="0.25">
      <c r="B169" s="3">
        <v>-60.262</v>
      </c>
      <c r="C169" s="3">
        <v>-1696.4467999999999</v>
      </c>
      <c r="D169" s="3">
        <v>128.8212</v>
      </c>
      <c r="E169" s="3">
        <v>1863.4394</v>
      </c>
      <c r="F169" s="3">
        <v>30.570399999999999</v>
      </c>
      <c r="G169" s="3">
        <v>39.026999999999987</v>
      </c>
      <c r="I169" s="1">
        <v>0</v>
      </c>
      <c r="J169" s="1">
        <v>160</v>
      </c>
      <c r="K169" s="1">
        <v>0</v>
      </c>
      <c r="L169" s="1">
        <v>-8</v>
      </c>
      <c r="M169" s="1">
        <v>0</v>
      </c>
      <c r="N169" s="1">
        <v>0</v>
      </c>
      <c r="P169" s="2"/>
      <c r="Q169" s="2"/>
      <c r="R169" s="2"/>
      <c r="S169" s="2"/>
      <c r="T169" s="2"/>
      <c r="U169" s="2"/>
    </row>
    <row r="170" spans="2:21" x14ac:dyDescent="0.25">
      <c r="B170" s="3">
        <v>-79.529200000000003</v>
      </c>
      <c r="C170" s="3">
        <v>-2228.6776</v>
      </c>
      <c r="D170" s="3">
        <v>168.50720000000001</v>
      </c>
      <c r="E170" s="3">
        <v>2448.1186000000002</v>
      </c>
      <c r="F170" s="3">
        <v>40.242800000000003</v>
      </c>
      <c r="G170" s="3">
        <v>54.564599999999984</v>
      </c>
      <c r="I170" s="1">
        <v>0</v>
      </c>
      <c r="J170" s="1">
        <v>210</v>
      </c>
      <c r="K170" s="1">
        <v>0</v>
      </c>
      <c r="L170" s="1">
        <v>-10.5</v>
      </c>
      <c r="M170" s="1">
        <v>0</v>
      </c>
      <c r="N170" s="1">
        <v>0</v>
      </c>
      <c r="P170" s="2"/>
      <c r="Q170" s="2"/>
      <c r="R170" s="2"/>
      <c r="S170" s="2"/>
      <c r="T170" s="2"/>
      <c r="U170" s="2"/>
    </row>
    <row r="171" spans="2:21" x14ac:dyDescent="0.25">
      <c r="B171" s="3">
        <v>-60.61</v>
      </c>
      <c r="C171" s="3">
        <v>-1697.1183999999901</v>
      </c>
      <c r="D171" s="3">
        <v>128.8948</v>
      </c>
      <c r="E171" s="3">
        <v>1863.4525999999998</v>
      </c>
      <c r="F171" s="3">
        <v>30.66</v>
      </c>
      <c r="G171" s="3">
        <v>38.427999999999997</v>
      </c>
      <c r="I171" s="1">
        <v>0</v>
      </c>
      <c r="J171" s="1">
        <v>160</v>
      </c>
      <c r="K171" s="1">
        <v>0</v>
      </c>
      <c r="L171" s="1">
        <v>-8</v>
      </c>
      <c r="M171" s="1">
        <v>0</v>
      </c>
      <c r="N171" s="1">
        <v>0</v>
      </c>
      <c r="P171" s="2"/>
      <c r="Q171" s="2"/>
      <c r="R171" s="2"/>
      <c r="S171" s="2"/>
      <c r="T171" s="2"/>
      <c r="U171" s="2"/>
    </row>
    <row r="172" spans="2:21" x14ac:dyDescent="0.25">
      <c r="B172" s="3">
        <v>-41.966399999999908</v>
      </c>
      <c r="C172" s="3">
        <v>-1167.5029999999999</v>
      </c>
      <c r="D172" s="3">
        <v>87.572399999999988</v>
      </c>
      <c r="E172" s="3">
        <v>1281.3997999999999</v>
      </c>
      <c r="F172" s="3">
        <v>20.8476</v>
      </c>
      <c r="G172" s="3">
        <v>23.486599999999981</v>
      </c>
      <c r="I172" s="1">
        <v>0</v>
      </c>
      <c r="J172" s="1">
        <v>110</v>
      </c>
      <c r="K172" s="1">
        <v>0</v>
      </c>
      <c r="L172" s="1">
        <v>-5.5</v>
      </c>
      <c r="M172" s="1">
        <v>0</v>
      </c>
      <c r="N172" s="1">
        <v>0</v>
      </c>
      <c r="P172" s="2"/>
      <c r="Q172" s="2"/>
      <c r="R172" s="2"/>
      <c r="S172" s="2"/>
      <c r="T172" s="2"/>
      <c r="U172" s="2"/>
    </row>
    <row r="173" spans="2:21" x14ac:dyDescent="0.25">
      <c r="B173" s="3">
        <v>-22.485400000000002</v>
      </c>
      <c r="C173" s="3">
        <v>-638.59959999999899</v>
      </c>
      <c r="D173" s="3">
        <v>47.677599999999998</v>
      </c>
      <c r="E173" s="3">
        <v>699.31320000000005</v>
      </c>
      <c r="F173" s="3">
        <v>11.8048</v>
      </c>
      <c r="G173" s="3">
        <v>-0.38439999999999941</v>
      </c>
      <c r="I173" s="1">
        <v>0</v>
      </c>
      <c r="J173" s="1">
        <v>60</v>
      </c>
      <c r="K173" s="1">
        <v>0</v>
      </c>
      <c r="L173" s="1">
        <v>-3</v>
      </c>
      <c r="M173" s="1">
        <v>0</v>
      </c>
      <c r="N173" s="1">
        <v>0</v>
      </c>
      <c r="P173" s="2"/>
      <c r="Q173" s="2"/>
      <c r="R173" s="2"/>
      <c r="S173" s="2"/>
      <c r="T173" s="2"/>
      <c r="U173" s="2"/>
    </row>
    <row r="174" spans="2:21" x14ac:dyDescent="0.25">
      <c r="B174" s="3">
        <v>-0.25480000000000125</v>
      </c>
      <c r="C174" s="3">
        <v>2.7197999999999896</v>
      </c>
      <c r="D174" s="3">
        <v>-0.96039999999999992</v>
      </c>
      <c r="E174" s="3">
        <v>-5.5621999999999971</v>
      </c>
      <c r="F174" s="3">
        <v>-8.7799999999999656E-2</v>
      </c>
      <c r="G174" s="3">
        <v>-1.8114000000000203</v>
      </c>
      <c r="I174" s="1">
        <v>0</v>
      </c>
      <c r="J174" s="1">
        <v>0</v>
      </c>
      <c r="K174" s="1">
        <v>0</v>
      </c>
      <c r="L174" s="1">
        <v>0</v>
      </c>
      <c r="M174" s="1">
        <v>0</v>
      </c>
      <c r="N174" s="1">
        <v>0</v>
      </c>
      <c r="P174" s="2"/>
      <c r="Q174" s="2"/>
      <c r="R174" s="2"/>
      <c r="S174" s="2"/>
      <c r="T174" s="2"/>
      <c r="U174" s="2"/>
    </row>
    <row r="175" spans="2:21" x14ac:dyDescent="0.25">
      <c r="B175" s="3">
        <v>-22.528200000000002</v>
      </c>
      <c r="C175" s="3">
        <v>-639.01439999999991</v>
      </c>
      <c r="D175" s="3">
        <v>48.888799999999996</v>
      </c>
      <c r="E175" s="3">
        <v>702.74379999999906</v>
      </c>
      <c r="F175" s="3">
        <v>11.940200000000001</v>
      </c>
      <c r="G175" s="3">
        <v>2.2553999999999803</v>
      </c>
      <c r="I175" s="1">
        <v>0</v>
      </c>
      <c r="J175" s="1">
        <v>60</v>
      </c>
      <c r="K175" s="1">
        <v>0</v>
      </c>
      <c r="L175" s="1">
        <v>-3</v>
      </c>
      <c r="M175" s="1">
        <v>0</v>
      </c>
      <c r="N175" s="1">
        <v>0</v>
      </c>
      <c r="P175" s="2"/>
      <c r="Q175" s="2"/>
      <c r="R175" s="2"/>
      <c r="S175" s="2"/>
      <c r="T175" s="2"/>
      <c r="U175" s="2"/>
    </row>
    <row r="176" spans="2:21" x14ac:dyDescent="0.25">
      <c r="B176" s="3">
        <v>-41.954999999999899</v>
      </c>
      <c r="C176" s="3">
        <v>-1166.53159999999</v>
      </c>
      <c r="D176" s="3">
        <v>87.363399999999984</v>
      </c>
      <c r="E176" s="3">
        <v>1281.8108</v>
      </c>
      <c r="F176" s="3">
        <v>21.1128</v>
      </c>
      <c r="G176" s="3">
        <v>23.742999999999995</v>
      </c>
      <c r="I176" s="1">
        <v>0</v>
      </c>
      <c r="J176" s="1">
        <v>110</v>
      </c>
      <c r="K176" s="1">
        <v>0</v>
      </c>
      <c r="L176" s="1">
        <v>-5.5</v>
      </c>
      <c r="M176" s="1">
        <v>0</v>
      </c>
      <c r="N176" s="1">
        <v>0</v>
      </c>
      <c r="P176" s="2"/>
      <c r="Q176" s="2"/>
      <c r="R176" s="2"/>
      <c r="S176" s="2"/>
      <c r="T176" s="2"/>
      <c r="U176" s="2"/>
    </row>
    <row r="177" spans="1:21" x14ac:dyDescent="0.25">
      <c r="B177" s="3">
        <v>-60.748399999999904</v>
      </c>
      <c r="C177" s="3">
        <v>-1696.6864</v>
      </c>
      <c r="D177" s="3">
        <v>127.9204</v>
      </c>
      <c r="E177" s="3">
        <v>1863.9521999999999</v>
      </c>
      <c r="F177" s="3">
        <v>30.633199999999999</v>
      </c>
      <c r="G177" s="3">
        <v>37.6738</v>
      </c>
      <c r="I177" s="1">
        <v>0</v>
      </c>
      <c r="J177" s="1">
        <v>160</v>
      </c>
      <c r="K177" s="1">
        <v>0</v>
      </c>
      <c r="L177" s="1">
        <v>-8</v>
      </c>
      <c r="M177" s="1">
        <v>0</v>
      </c>
      <c r="N177" s="1">
        <v>0</v>
      </c>
      <c r="P177" s="2"/>
      <c r="Q177" s="2"/>
      <c r="R177" s="2"/>
      <c r="S177" s="2"/>
      <c r="T177" s="2"/>
      <c r="U177" s="2"/>
    </row>
    <row r="178" spans="1:21" x14ac:dyDescent="0.25">
      <c r="B178" s="3">
        <v>-79.69319999999999</v>
      </c>
      <c r="C178" s="3">
        <v>-2227.4780000000001</v>
      </c>
      <c r="D178" s="3">
        <v>168.09040000000002</v>
      </c>
      <c r="E178" s="3">
        <v>2447.0006000000003</v>
      </c>
      <c r="F178" s="3">
        <v>40.507200000000005</v>
      </c>
      <c r="G178" s="3">
        <v>50.757199999999983</v>
      </c>
      <c r="I178" s="1">
        <v>0</v>
      </c>
      <c r="J178" s="1">
        <v>210</v>
      </c>
      <c r="K178" s="1">
        <v>0</v>
      </c>
      <c r="L178" s="1">
        <v>-10.5</v>
      </c>
      <c r="M178" s="1">
        <v>0</v>
      </c>
      <c r="N178" s="1">
        <v>0</v>
      </c>
      <c r="P178" s="2"/>
      <c r="Q178" s="2"/>
      <c r="R178" s="2"/>
      <c r="S178" s="2"/>
      <c r="T178" s="2"/>
      <c r="U178" s="2"/>
    </row>
    <row r="179" spans="1:21" x14ac:dyDescent="0.25">
      <c r="B179" s="3">
        <v>-60.61</v>
      </c>
      <c r="C179" s="3">
        <v>-1697.1183999999901</v>
      </c>
      <c r="D179" s="3">
        <v>128.8948</v>
      </c>
      <c r="E179" s="3">
        <v>1863.4525999999998</v>
      </c>
      <c r="F179" s="3">
        <v>30.66</v>
      </c>
      <c r="G179" s="3">
        <v>38.427999999999997</v>
      </c>
      <c r="I179" s="1">
        <v>0</v>
      </c>
      <c r="J179" s="1">
        <v>160</v>
      </c>
      <c r="K179" s="1">
        <v>0</v>
      </c>
      <c r="L179" s="1">
        <v>-8</v>
      </c>
      <c r="M179" s="1">
        <v>0</v>
      </c>
      <c r="N179" s="1">
        <v>0</v>
      </c>
      <c r="P179" s="2"/>
      <c r="Q179" s="2"/>
      <c r="R179" s="2"/>
      <c r="S179" s="2"/>
      <c r="T179" s="2"/>
      <c r="U179" s="2"/>
    </row>
    <row r="180" spans="1:21" x14ac:dyDescent="0.25">
      <c r="B180" s="3">
        <v>-41.966399999999908</v>
      </c>
      <c r="C180" s="3">
        <v>-1167.5029999999999</v>
      </c>
      <c r="D180" s="3">
        <v>87.572399999999988</v>
      </c>
      <c r="E180" s="3">
        <v>1281.3997999999999</v>
      </c>
      <c r="F180" s="3">
        <v>20.8476</v>
      </c>
      <c r="G180" s="3">
        <v>23.486599999999981</v>
      </c>
      <c r="I180" s="1">
        <v>0</v>
      </c>
      <c r="J180" s="1">
        <v>110</v>
      </c>
      <c r="K180" s="1">
        <v>0</v>
      </c>
      <c r="L180" s="1">
        <v>-5.5</v>
      </c>
      <c r="M180" s="1">
        <v>0</v>
      </c>
      <c r="N180" s="1">
        <v>0</v>
      </c>
      <c r="P180" s="2"/>
      <c r="Q180" s="2"/>
      <c r="R180" s="2"/>
      <c r="S180" s="2"/>
      <c r="T180" s="2"/>
      <c r="U180" s="2"/>
    </row>
    <row r="181" spans="1:21" x14ac:dyDescent="0.25">
      <c r="B181" s="3">
        <v>-22.485400000000002</v>
      </c>
      <c r="C181" s="3">
        <v>-638.59959999999899</v>
      </c>
      <c r="D181" s="3">
        <v>47.677599999999998</v>
      </c>
      <c r="E181" s="3">
        <v>699.31320000000005</v>
      </c>
      <c r="F181" s="3">
        <v>11.8048</v>
      </c>
      <c r="G181" s="3">
        <v>-0.38439999999999941</v>
      </c>
      <c r="I181" s="1">
        <v>0</v>
      </c>
      <c r="J181" s="1">
        <v>60</v>
      </c>
      <c r="K181" s="1">
        <v>0</v>
      </c>
      <c r="L181" s="1">
        <v>-3</v>
      </c>
      <c r="M181" s="1">
        <v>0</v>
      </c>
      <c r="N181" s="1">
        <v>0</v>
      </c>
      <c r="P181" s="2"/>
      <c r="Q181" s="2"/>
      <c r="R181" s="2"/>
      <c r="S181" s="2"/>
      <c r="T181" s="2"/>
      <c r="U181" s="2"/>
    </row>
    <row r="182" spans="1:21" x14ac:dyDescent="0.25">
      <c r="B182" s="3">
        <v>-0.25480000000000125</v>
      </c>
      <c r="C182" s="3">
        <v>2.7197999999999896</v>
      </c>
      <c r="D182" s="3">
        <v>-0.96039999999999992</v>
      </c>
      <c r="E182" s="3">
        <v>-5.5621999999999971</v>
      </c>
      <c r="F182" s="3">
        <v>-8.7799999999999656E-2</v>
      </c>
      <c r="G182" s="3">
        <v>-1.8114000000000203</v>
      </c>
      <c r="I182" s="1">
        <v>0</v>
      </c>
      <c r="J182" s="1">
        <v>0</v>
      </c>
      <c r="K182" s="1">
        <v>0</v>
      </c>
      <c r="L182" s="1">
        <v>0</v>
      </c>
      <c r="M182" s="1">
        <v>0</v>
      </c>
      <c r="N182" s="1">
        <v>0</v>
      </c>
      <c r="P182" s="2"/>
      <c r="Q182" s="2"/>
      <c r="R182" s="2"/>
      <c r="S182" s="2"/>
      <c r="T182" s="2"/>
      <c r="U182" s="2"/>
    </row>
    <row r="183" spans="1:21" x14ac:dyDescent="0.25">
      <c r="A183">
        <v>1</v>
      </c>
      <c r="B183" s="3">
        <v>0</v>
      </c>
      <c r="C183" s="3">
        <v>0</v>
      </c>
      <c r="D183" s="3">
        <v>0</v>
      </c>
      <c r="E183" s="3">
        <v>0</v>
      </c>
      <c r="F183" s="3">
        <v>0</v>
      </c>
      <c r="G183" s="3">
        <v>0</v>
      </c>
      <c r="I183" s="1">
        <v>0</v>
      </c>
      <c r="J183" s="1">
        <v>0</v>
      </c>
      <c r="K183" s="1">
        <v>0</v>
      </c>
      <c r="L183" s="1">
        <v>0</v>
      </c>
      <c r="M183" s="1">
        <v>0</v>
      </c>
      <c r="N183" s="1">
        <v>0</v>
      </c>
      <c r="P183" s="2"/>
      <c r="Q183" s="2"/>
      <c r="R183" s="2"/>
      <c r="S183" s="2"/>
      <c r="T183" s="2"/>
      <c r="U183" s="2"/>
    </row>
    <row r="184" spans="1:21" x14ac:dyDescent="0.25">
      <c r="B184" s="3">
        <v>-623.98799999999994</v>
      </c>
      <c r="C184" s="3">
        <v>-4.8077999999999896</v>
      </c>
      <c r="D184" s="3">
        <v>27.18</v>
      </c>
      <c r="E184" s="3">
        <v>31.744399999999999</v>
      </c>
      <c r="F184" s="3">
        <v>-710.27999999999906</v>
      </c>
      <c r="G184" s="3">
        <v>16.3262</v>
      </c>
      <c r="I184" s="1">
        <v>60</v>
      </c>
      <c r="J184" s="1">
        <v>0</v>
      </c>
      <c r="K184" s="1">
        <v>0</v>
      </c>
      <c r="L184" s="1">
        <v>0</v>
      </c>
      <c r="M184" s="1">
        <v>3</v>
      </c>
      <c r="N184" s="1">
        <v>0</v>
      </c>
      <c r="P184" s="2"/>
      <c r="Q184" s="2"/>
      <c r="R184" s="2"/>
      <c r="S184" s="2"/>
      <c r="T184" s="2"/>
      <c r="U184" s="2"/>
    </row>
    <row r="185" spans="1:21" x14ac:dyDescent="0.25">
      <c r="B185" s="3">
        <v>-1140.0042000000001</v>
      </c>
      <c r="C185" s="3">
        <v>-7.730799999999979</v>
      </c>
      <c r="D185" s="3">
        <v>49.667200000000001</v>
      </c>
      <c r="E185" s="3">
        <v>56.372599999999906</v>
      </c>
      <c r="F185" s="3">
        <v>-1297.3306</v>
      </c>
      <c r="G185" s="3">
        <v>47.530799999999999</v>
      </c>
      <c r="I185" s="1">
        <v>110</v>
      </c>
      <c r="J185" s="1">
        <v>0</v>
      </c>
      <c r="K185" s="1">
        <v>0</v>
      </c>
      <c r="L185" s="1">
        <v>0</v>
      </c>
      <c r="M185" s="1">
        <v>5.5</v>
      </c>
      <c r="N185" s="1">
        <v>0</v>
      </c>
      <c r="P185" s="2"/>
      <c r="Q185" s="2"/>
      <c r="R185" s="2"/>
      <c r="S185" s="2"/>
      <c r="T185" s="2"/>
      <c r="U185" s="2"/>
    </row>
    <row r="186" spans="1:21" x14ac:dyDescent="0.25">
      <c r="B186" s="3">
        <v>-1654.546</v>
      </c>
      <c r="C186" s="3">
        <v>-11.49299999999999</v>
      </c>
      <c r="D186" s="3">
        <v>70.785399999999896</v>
      </c>
      <c r="E186" s="3">
        <v>81.933999999999997</v>
      </c>
      <c r="F186" s="3">
        <v>-1882.9718</v>
      </c>
      <c r="G186" s="3">
        <v>72.369</v>
      </c>
      <c r="I186" s="1">
        <v>160</v>
      </c>
      <c r="J186" s="1">
        <v>0</v>
      </c>
      <c r="K186" s="1">
        <v>0</v>
      </c>
      <c r="L186" s="1">
        <v>0</v>
      </c>
      <c r="M186" s="1">
        <v>8</v>
      </c>
      <c r="N186" s="1">
        <v>0</v>
      </c>
      <c r="P186" s="2"/>
      <c r="Q186" s="2"/>
      <c r="R186" s="2"/>
      <c r="S186" s="2"/>
      <c r="T186" s="2"/>
      <c r="U186" s="2"/>
    </row>
    <row r="187" spans="1:21" x14ac:dyDescent="0.25">
      <c r="B187" s="3">
        <v>-2169.0162</v>
      </c>
      <c r="C187" s="3">
        <v>-14.834599999999989</v>
      </c>
      <c r="D187" s="3">
        <v>92.72999999999999</v>
      </c>
      <c r="E187" s="3">
        <v>107.21259999999999</v>
      </c>
      <c r="F187" s="3">
        <v>-2468.7028</v>
      </c>
      <c r="G187" s="3">
        <v>95.906999999998988</v>
      </c>
      <c r="I187" s="1">
        <v>210</v>
      </c>
      <c r="J187" s="1">
        <v>0</v>
      </c>
      <c r="K187" s="1">
        <v>0</v>
      </c>
      <c r="L187" s="1">
        <v>0</v>
      </c>
      <c r="M187" s="1">
        <v>10.5</v>
      </c>
      <c r="N187" s="1">
        <v>0</v>
      </c>
      <c r="P187" s="2"/>
      <c r="Q187" s="2"/>
      <c r="R187" s="2"/>
      <c r="S187" s="2"/>
      <c r="T187" s="2"/>
      <c r="U187" s="2"/>
    </row>
    <row r="188" spans="1:21" x14ac:dyDescent="0.25">
      <c r="B188" s="3">
        <v>-1654.2482</v>
      </c>
      <c r="C188" s="3">
        <v>-11.55019999999999</v>
      </c>
      <c r="D188" s="3">
        <v>71.116399999999999</v>
      </c>
      <c r="E188" s="3">
        <v>82.122</v>
      </c>
      <c r="F188" s="3">
        <v>-1882.6484</v>
      </c>
      <c r="G188" s="3">
        <v>71.676600000000008</v>
      </c>
      <c r="I188" s="1">
        <v>160</v>
      </c>
      <c r="J188" s="1">
        <v>0</v>
      </c>
      <c r="K188" s="1">
        <v>0</v>
      </c>
      <c r="L188" s="1">
        <v>0</v>
      </c>
      <c r="M188" s="1">
        <v>8</v>
      </c>
      <c r="N188" s="1">
        <v>0</v>
      </c>
      <c r="P188" s="2"/>
      <c r="Q188" s="2"/>
      <c r="R188" s="2"/>
      <c r="S188" s="2"/>
      <c r="T188" s="2"/>
      <c r="U188" s="2"/>
    </row>
    <row r="189" spans="1:21" x14ac:dyDescent="0.25">
      <c r="B189" s="3">
        <v>-1138.0662000000002</v>
      </c>
      <c r="C189" s="3">
        <v>-8.5687999999999889</v>
      </c>
      <c r="D189" s="3">
        <v>49.153199999999998</v>
      </c>
      <c r="E189" s="3">
        <v>57.220399999999998</v>
      </c>
      <c r="F189" s="3">
        <v>-1295.3814</v>
      </c>
      <c r="G189" s="3">
        <v>43.851599999999991</v>
      </c>
      <c r="I189" s="1">
        <v>110</v>
      </c>
      <c r="J189" s="1">
        <v>0</v>
      </c>
      <c r="K189" s="1">
        <v>0</v>
      </c>
      <c r="L189" s="1">
        <v>0</v>
      </c>
      <c r="M189" s="1">
        <v>5.5</v>
      </c>
      <c r="N189" s="1">
        <v>0</v>
      </c>
      <c r="P189" s="2"/>
      <c r="Q189" s="2"/>
      <c r="R189" s="2"/>
      <c r="S189" s="2"/>
      <c r="T189" s="2"/>
      <c r="U189" s="2"/>
    </row>
    <row r="190" spans="1:21" x14ac:dyDescent="0.25">
      <c r="B190" s="3">
        <v>-621.354999999999</v>
      </c>
      <c r="C190" s="3">
        <v>-5.7553999999999892</v>
      </c>
      <c r="D190" s="3">
        <v>27.329799999999999</v>
      </c>
      <c r="E190" s="3">
        <v>32.391199999999998</v>
      </c>
      <c r="F190" s="3">
        <v>-706.90120000000002</v>
      </c>
      <c r="G190" s="3">
        <v>11.601799999999997</v>
      </c>
      <c r="I190" s="1">
        <v>60</v>
      </c>
      <c r="J190" s="1">
        <v>0</v>
      </c>
      <c r="K190" s="1">
        <v>0</v>
      </c>
      <c r="L190" s="1">
        <v>0</v>
      </c>
      <c r="M190" s="1">
        <v>3</v>
      </c>
      <c r="N190" s="1">
        <v>0</v>
      </c>
      <c r="P190" s="2"/>
      <c r="Q190" s="2"/>
      <c r="R190" s="2"/>
      <c r="S190" s="2"/>
      <c r="T190" s="2"/>
      <c r="U190" s="2"/>
    </row>
    <row r="191" spans="1:21" x14ac:dyDescent="0.25">
      <c r="B191" s="3">
        <v>1.9271999999999991</v>
      </c>
      <c r="C191" s="3">
        <v>-0.71519999999999984</v>
      </c>
      <c r="D191" s="3">
        <v>0.43680000000000163</v>
      </c>
      <c r="E191" s="3">
        <v>1.3658000000000001</v>
      </c>
      <c r="F191" s="3">
        <v>2.6472000000000104</v>
      </c>
      <c r="G191" s="3">
        <v>-0.55880000000101404</v>
      </c>
      <c r="I191" s="1">
        <v>0</v>
      </c>
      <c r="J191" s="1">
        <v>0</v>
      </c>
      <c r="K191" s="1">
        <v>0</v>
      </c>
      <c r="L191" s="1">
        <v>0</v>
      </c>
      <c r="M191" s="1">
        <v>0</v>
      </c>
      <c r="N191" s="1">
        <v>0</v>
      </c>
      <c r="P191" s="2"/>
      <c r="Q191" s="2"/>
      <c r="R191" s="2"/>
      <c r="S191" s="2"/>
      <c r="T191" s="2"/>
      <c r="U191" s="2"/>
    </row>
    <row r="192" spans="1:21" x14ac:dyDescent="0.25">
      <c r="B192" s="3">
        <v>-620.94399999999996</v>
      </c>
      <c r="C192" s="3">
        <v>-4.5965999999999898</v>
      </c>
      <c r="D192" s="3">
        <v>27.418199999999999</v>
      </c>
      <c r="E192" s="3">
        <v>31.528799999999997</v>
      </c>
      <c r="F192" s="3">
        <v>-706.35419999999999</v>
      </c>
      <c r="G192" s="3">
        <v>24.563600000000008</v>
      </c>
      <c r="I192" s="1">
        <v>60</v>
      </c>
      <c r="J192" s="1">
        <v>0</v>
      </c>
      <c r="K192" s="1">
        <v>0</v>
      </c>
      <c r="L192" s="1">
        <v>0</v>
      </c>
      <c r="M192" s="1">
        <v>3</v>
      </c>
      <c r="N192" s="1">
        <v>0</v>
      </c>
      <c r="P192" s="2"/>
      <c r="Q192" s="2"/>
      <c r="R192" s="2"/>
      <c r="S192" s="2"/>
      <c r="T192" s="2"/>
      <c r="U192" s="2"/>
    </row>
    <row r="193" spans="1:21" x14ac:dyDescent="0.25">
      <c r="B193" s="3">
        <v>-1137.4786000000001</v>
      </c>
      <c r="C193" s="3">
        <v>-6.6327999999999898</v>
      </c>
      <c r="D193" s="3">
        <v>48.869599999999998</v>
      </c>
      <c r="E193" s="3">
        <v>55.227999999999994</v>
      </c>
      <c r="F193" s="3">
        <v>-1294.8196</v>
      </c>
      <c r="G193" s="3">
        <v>65.425000000000011</v>
      </c>
      <c r="I193" s="1">
        <v>110</v>
      </c>
      <c r="J193" s="1">
        <v>0</v>
      </c>
      <c r="K193" s="1">
        <v>0</v>
      </c>
      <c r="L193" s="1">
        <v>0</v>
      </c>
      <c r="M193" s="1">
        <v>5.5</v>
      </c>
      <c r="N193" s="1">
        <v>0</v>
      </c>
      <c r="P193" s="2"/>
      <c r="Q193" s="2"/>
      <c r="R193" s="2"/>
      <c r="S193" s="2"/>
      <c r="T193" s="2"/>
      <c r="U193" s="2"/>
    </row>
    <row r="194" spans="1:21" x14ac:dyDescent="0.25">
      <c r="B194" s="3">
        <v>-1652.6106000000002</v>
      </c>
      <c r="C194" s="3">
        <v>-9.1753999999999785</v>
      </c>
      <c r="D194" s="3">
        <v>71.772599999999997</v>
      </c>
      <c r="E194" s="3">
        <v>79.451599999999999</v>
      </c>
      <c r="F194" s="3">
        <v>-1881.72719999999</v>
      </c>
      <c r="G194" s="3">
        <v>99.156799999999009</v>
      </c>
      <c r="I194" s="1">
        <v>160</v>
      </c>
      <c r="J194" s="1">
        <v>0</v>
      </c>
      <c r="K194" s="1">
        <v>0</v>
      </c>
      <c r="L194" s="1">
        <v>0</v>
      </c>
      <c r="M194" s="1">
        <v>8</v>
      </c>
      <c r="N194" s="1">
        <v>0</v>
      </c>
      <c r="P194" s="2"/>
      <c r="Q194" s="2"/>
      <c r="R194" s="2"/>
      <c r="S194" s="2"/>
      <c r="T194" s="2"/>
      <c r="U194" s="2"/>
    </row>
    <row r="195" spans="1:21" x14ac:dyDescent="0.25">
      <c r="B195" s="3">
        <v>-2170.0459999999998</v>
      </c>
      <c r="C195" s="3">
        <v>-12.707799999999979</v>
      </c>
      <c r="D195" s="3">
        <v>92.830199999999991</v>
      </c>
      <c r="E195" s="3">
        <v>104.488</v>
      </c>
      <c r="F195" s="3">
        <v>-2470.4423999999999</v>
      </c>
      <c r="G195" s="3">
        <v>128.96939999999998</v>
      </c>
      <c r="I195" s="1">
        <v>210</v>
      </c>
      <c r="J195" s="1">
        <v>0</v>
      </c>
      <c r="K195" s="1">
        <v>0</v>
      </c>
      <c r="L195" s="1">
        <v>0</v>
      </c>
      <c r="M195" s="1">
        <v>10.5</v>
      </c>
      <c r="N195" s="1">
        <v>0</v>
      </c>
      <c r="P195" s="2"/>
      <c r="Q195" s="2"/>
      <c r="R195" s="2"/>
      <c r="S195" s="2"/>
      <c r="T195" s="2"/>
      <c r="U195" s="2"/>
    </row>
    <row r="196" spans="1:21" x14ac:dyDescent="0.25">
      <c r="B196" s="3">
        <v>-1654.2482</v>
      </c>
      <c r="C196" s="3">
        <v>-11.55019999999999</v>
      </c>
      <c r="D196" s="3">
        <v>71.116399999999999</v>
      </c>
      <c r="E196" s="3">
        <v>82.122</v>
      </c>
      <c r="F196" s="3">
        <v>-1882.6484</v>
      </c>
      <c r="G196" s="3">
        <v>71.676600000000008</v>
      </c>
      <c r="I196" s="1">
        <v>160</v>
      </c>
      <c r="J196" s="1">
        <v>0</v>
      </c>
      <c r="K196" s="1">
        <v>0</v>
      </c>
      <c r="L196" s="1">
        <v>0</v>
      </c>
      <c r="M196" s="1">
        <v>8</v>
      </c>
      <c r="N196" s="1">
        <v>0</v>
      </c>
      <c r="P196" s="2"/>
      <c r="Q196" s="2"/>
      <c r="R196" s="2"/>
      <c r="S196" s="2"/>
      <c r="T196" s="2"/>
      <c r="U196" s="2"/>
    </row>
    <row r="197" spans="1:21" x14ac:dyDescent="0.25">
      <c r="B197" s="3">
        <v>-1138.0662000000002</v>
      </c>
      <c r="C197" s="3">
        <v>-8.5687999999999889</v>
      </c>
      <c r="D197" s="3">
        <v>49.153199999999998</v>
      </c>
      <c r="E197" s="3">
        <v>57.220399999999998</v>
      </c>
      <c r="F197" s="3">
        <v>-1295.3814</v>
      </c>
      <c r="G197" s="3">
        <v>43.851599999999991</v>
      </c>
      <c r="I197" s="1">
        <v>110</v>
      </c>
      <c r="J197" s="1">
        <v>0</v>
      </c>
      <c r="K197" s="1">
        <v>0</v>
      </c>
      <c r="L197" s="1">
        <v>0</v>
      </c>
      <c r="M197" s="1">
        <v>5.5</v>
      </c>
      <c r="N197" s="1">
        <v>0</v>
      </c>
      <c r="P197" s="2"/>
      <c r="Q197" s="2"/>
      <c r="R197" s="2"/>
      <c r="S197" s="2"/>
      <c r="T197" s="2"/>
      <c r="U197" s="2"/>
    </row>
    <row r="198" spans="1:21" x14ac:dyDescent="0.25">
      <c r="B198" s="3">
        <v>-621.354999999999</v>
      </c>
      <c r="C198" s="3">
        <v>-5.7553999999999892</v>
      </c>
      <c r="D198" s="3">
        <v>27.329799999999999</v>
      </c>
      <c r="E198" s="3">
        <v>32.391199999999998</v>
      </c>
      <c r="F198" s="3">
        <v>-706.90120000000002</v>
      </c>
      <c r="G198" s="3">
        <v>11.601799999999997</v>
      </c>
      <c r="I198" s="1">
        <v>60</v>
      </c>
      <c r="J198" s="1">
        <v>0</v>
      </c>
      <c r="K198" s="1">
        <v>0</v>
      </c>
      <c r="L198" s="1">
        <v>0</v>
      </c>
      <c r="M198" s="1">
        <v>3</v>
      </c>
      <c r="N198" s="1">
        <v>0</v>
      </c>
      <c r="P198" s="2"/>
      <c r="Q198" s="2"/>
      <c r="R198" s="2"/>
      <c r="S198" s="2"/>
      <c r="T198" s="2"/>
      <c r="U198" s="2"/>
    </row>
    <row r="199" spans="1:21" x14ac:dyDescent="0.25">
      <c r="B199" s="3">
        <v>1.9271999999999991</v>
      </c>
      <c r="C199" s="3">
        <v>-0.71519999999999984</v>
      </c>
      <c r="D199" s="3">
        <v>0.43680000000000163</v>
      </c>
      <c r="E199" s="3">
        <v>1.3658000000000001</v>
      </c>
      <c r="F199" s="3">
        <v>2.6472000000000104</v>
      </c>
      <c r="G199" s="3">
        <v>-0.55880000000101404</v>
      </c>
      <c r="I199" s="1">
        <v>0</v>
      </c>
      <c r="J199" s="1">
        <v>0</v>
      </c>
      <c r="K199" s="1">
        <v>0</v>
      </c>
      <c r="L199" s="1">
        <v>0</v>
      </c>
      <c r="M199" s="1">
        <v>0</v>
      </c>
      <c r="N199" s="1">
        <v>0</v>
      </c>
      <c r="P199" s="2"/>
      <c r="Q199" s="2"/>
      <c r="R199" s="2"/>
      <c r="S199" s="2"/>
      <c r="T199" s="2"/>
      <c r="U199" s="2"/>
    </row>
    <row r="200" spans="1:21" x14ac:dyDescent="0.25">
      <c r="B200" s="3">
        <v>-623.98799999999994</v>
      </c>
      <c r="C200" s="3">
        <v>-4.8077999999999896</v>
      </c>
      <c r="D200" s="3">
        <v>27.18</v>
      </c>
      <c r="E200" s="3">
        <v>31.744399999999999</v>
      </c>
      <c r="F200" s="3">
        <v>-710.27999999999906</v>
      </c>
      <c r="G200" s="3">
        <v>16.3262</v>
      </c>
      <c r="I200" s="1">
        <v>60</v>
      </c>
      <c r="J200" s="1">
        <v>0</v>
      </c>
      <c r="K200" s="1">
        <v>0</v>
      </c>
      <c r="L200" s="1">
        <v>0</v>
      </c>
      <c r="M200" s="1">
        <v>3</v>
      </c>
      <c r="N200" s="1">
        <v>0</v>
      </c>
      <c r="P200" s="2"/>
      <c r="Q200" s="2"/>
      <c r="R200" s="2"/>
      <c r="S200" s="2"/>
      <c r="T200" s="2"/>
      <c r="U200" s="2"/>
    </row>
    <row r="201" spans="1:21" x14ac:dyDescent="0.25">
      <c r="B201" s="3">
        <v>-1140.0042000000001</v>
      </c>
      <c r="C201" s="3">
        <v>-7.730799999999979</v>
      </c>
      <c r="D201" s="3">
        <v>49.667200000000001</v>
      </c>
      <c r="E201" s="3">
        <v>56.372599999999906</v>
      </c>
      <c r="F201" s="3">
        <v>-1297.3306</v>
      </c>
      <c r="G201" s="3">
        <v>47.530799999999999</v>
      </c>
      <c r="I201" s="1">
        <v>110</v>
      </c>
      <c r="J201" s="1">
        <v>0</v>
      </c>
      <c r="K201" s="1">
        <v>0</v>
      </c>
      <c r="L201" s="1">
        <v>0</v>
      </c>
      <c r="M201" s="1">
        <v>5.5</v>
      </c>
      <c r="N201" s="1">
        <v>0</v>
      </c>
      <c r="P201" s="2"/>
      <c r="Q201" s="2"/>
      <c r="R201" s="2"/>
      <c r="S201" s="2"/>
      <c r="T201" s="2"/>
      <c r="U201" s="2"/>
    </row>
    <row r="202" spans="1:21" x14ac:dyDescent="0.25">
      <c r="B202" s="3">
        <v>-1654.546</v>
      </c>
      <c r="C202" s="3">
        <v>-11.49299999999999</v>
      </c>
      <c r="D202" s="3">
        <v>70.785399999999896</v>
      </c>
      <c r="E202" s="3">
        <v>81.933999999999997</v>
      </c>
      <c r="F202" s="3">
        <v>-1882.9718</v>
      </c>
      <c r="G202" s="3">
        <v>72.369</v>
      </c>
      <c r="I202" s="1">
        <v>160</v>
      </c>
      <c r="J202" s="1">
        <v>0</v>
      </c>
      <c r="K202" s="1">
        <v>0</v>
      </c>
      <c r="L202" s="1">
        <v>0</v>
      </c>
      <c r="M202" s="1">
        <v>8</v>
      </c>
      <c r="N202" s="1">
        <v>0</v>
      </c>
      <c r="P202" s="2"/>
      <c r="Q202" s="2"/>
      <c r="R202" s="2"/>
      <c r="S202" s="2"/>
      <c r="T202" s="2"/>
      <c r="U202" s="2"/>
    </row>
    <row r="203" spans="1:21" x14ac:dyDescent="0.25">
      <c r="B203" s="3">
        <v>-2169.0162</v>
      </c>
      <c r="C203" s="3">
        <v>-14.834599999999989</v>
      </c>
      <c r="D203" s="3">
        <v>92.72999999999999</v>
      </c>
      <c r="E203" s="3">
        <v>107.21259999999999</v>
      </c>
      <c r="F203" s="3">
        <v>-2468.7028</v>
      </c>
      <c r="G203" s="3">
        <v>95.906999999998988</v>
      </c>
      <c r="I203" s="1">
        <v>210</v>
      </c>
      <c r="J203" s="1">
        <v>0</v>
      </c>
      <c r="K203" s="1">
        <v>0</v>
      </c>
      <c r="L203" s="1">
        <v>0</v>
      </c>
      <c r="M203" s="1">
        <v>10.5</v>
      </c>
      <c r="N203" s="1">
        <v>0</v>
      </c>
      <c r="P203" s="2"/>
      <c r="Q203" s="2"/>
      <c r="R203" s="2"/>
      <c r="S203" s="2"/>
      <c r="T203" s="2"/>
      <c r="U203" s="2"/>
    </row>
    <row r="204" spans="1:21" x14ac:dyDescent="0.25">
      <c r="B204" s="3">
        <v>-1654.2482</v>
      </c>
      <c r="C204" s="3">
        <v>-11.55019999999999</v>
      </c>
      <c r="D204" s="3">
        <v>71.116399999999999</v>
      </c>
      <c r="E204" s="3">
        <v>82.122</v>
      </c>
      <c r="F204" s="3">
        <v>-1882.6484</v>
      </c>
      <c r="G204" s="3">
        <v>71.676600000000008</v>
      </c>
      <c r="I204" s="1">
        <v>160</v>
      </c>
      <c r="J204" s="1">
        <v>0</v>
      </c>
      <c r="K204" s="1">
        <v>0</v>
      </c>
      <c r="L204" s="1">
        <v>0</v>
      </c>
      <c r="M204" s="1">
        <v>8</v>
      </c>
      <c r="N204" s="1">
        <v>0</v>
      </c>
      <c r="P204" s="2"/>
      <c r="Q204" s="2"/>
      <c r="R204" s="2"/>
      <c r="S204" s="2"/>
      <c r="T204" s="2"/>
      <c r="U204" s="2"/>
    </row>
    <row r="205" spans="1:21" x14ac:dyDescent="0.25">
      <c r="B205" s="3">
        <v>-1138.0662000000002</v>
      </c>
      <c r="C205" s="3">
        <v>-8.5687999999999889</v>
      </c>
      <c r="D205" s="3">
        <v>49.153199999999998</v>
      </c>
      <c r="E205" s="3">
        <v>57.220399999999998</v>
      </c>
      <c r="F205" s="3">
        <v>-1295.3814</v>
      </c>
      <c r="G205" s="3">
        <v>43.851599999999991</v>
      </c>
      <c r="I205" s="1">
        <v>110</v>
      </c>
      <c r="J205" s="1">
        <v>0</v>
      </c>
      <c r="K205" s="1">
        <v>0</v>
      </c>
      <c r="L205" s="1">
        <v>0</v>
      </c>
      <c r="M205" s="1">
        <v>5.5</v>
      </c>
      <c r="N205" s="1">
        <v>0</v>
      </c>
      <c r="P205" s="2"/>
      <c r="Q205" s="2"/>
      <c r="R205" s="2"/>
      <c r="S205" s="2"/>
      <c r="T205" s="2"/>
      <c r="U205" s="2"/>
    </row>
    <row r="206" spans="1:21" x14ac:dyDescent="0.25">
      <c r="B206" s="3">
        <v>-621.354999999999</v>
      </c>
      <c r="C206" s="3">
        <v>-5.7553999999999892</v>
      </c>
      <c r="D206" s="3">
        <v>27.329799999999999</v>
      </c>
      <c r="E206" s="3">
        <v>32.391199999999998</v>
      </c>
      <c r="F206" s="3">
        <v>-706.90120000000002</v>
      </c>
      <c r="G206" s="3">
        <v>11.601799999999997</v>
      </c>
      <c r="I206" s="1">
        <v>60</v>
      </c>
      <c r="J206" s="1">
        <v>0</v>
      </c>
      <c r="K206" s="1">
        <v>0</v>
      </c>
      <c r="L206" s="1">
        <v>0</v>
      </c>
      <c r="M206" s="1">
        <v>3</v>
      </c>
      <c r="N206" s="1">
        <v>0</v>
      </c>
      <c r="P206" s="2"/>
      <c r="Q206" s="2"/>
      <c r="R206" s="2"/>
      <c r="S206" s="2"/>
      <c r="T206" s="2"/>
      <c r="U206" s="2"/>
    </row>
    <row r="207" spans="1:21" x14ac:dyDescent="0.25">
      <c r="B207" s="3">
        <v>1.9271999999999991</v>
      </c>
      <c r="C207" s="3">
        <v>-0.71519999999999984</v>
      </c>
      <c r="D207" s="3">
        <v>0.43680000000000163</v>
      </c>
      <c r="E207" s="3">
        <v>1.3658000000000001</v>
      </c>
      <c r="F207" s="3">
        <v>2.6472000000000104</v>
      </c>
      <c r="G207" s="3">
        <v>-0.55880000000101404</v>
      </c>
      <c r="I207" s="1">
        <v>0</v>
      </c>
      <c r="J207" s="1">
        <v>0</v>
      </c>
      <c r="K207" s="1">
        <v>0</v>
      </c>
      <c r="L207" s="1">
        <v>0</v>
      </c>
      <c r="M207" s="1">
        <v>0</v>
      </c>
      <c r="N207" s="1">
        <v>0</v>
      </c>
      <c r="P207" s="2"/>
      <c r="Q207" s="2"/>
      <c r="R207" s="2"/>
      <c r="S207" s="2"/>
      <c r="T207" s="2"/>
      <c r="U207" s="2"/>
    </row>
    <row r="208" spans="1:21" x14ac:dyDescent="0.25">
      <c r="A208">
        <v>1</v>
      </c>
      <c r="B208" s="3">
        <v>0</v>
      </c>
      <c r="C208" s="3">
        <v>0</v>
      </c>
      <c r="D208" s="3">
        <v>0</v>
      </c>
      <c r="E208" s="3">
        <v>0</v>
      </c>
      <c r="F208" s="3">
        <v>0</v>
      </c>
      <c r="G208" s="3">
        <v>0</v>
      </c>
      <c r="I208" s="1">
        <v>0</v>
      </c>
      <c r="J208" s="1">
        <v>0</v>
      </c>
      <c r="K208" s="1">
        <v>0</v>
      </c>
      <c r="L208" s="1">
        <v>0</v>
      </c>
      <c r="M208" s="1">
        <v>0</v>
      </c>
      <c r="N208" s="1">
        <v>0</v>
      </c>
      <c r="P208" s="2"/>
      <c r="Q208" s="2"/>
      <c r="R208" s="2"/>
      <c r="S208" s="2"/>
      <c r="T208" s="2"/>
      <c r="U208" s="2"/>
    </row>
    <row r="209" spans="2:21" x14ac:dyDescent="0.25">
      <c r="B209" s="3">
        <v>620.79099999999994</v>
      </c>
      <c r="C209" s="3">
        <v>1.5295999999999896</v>
      </c>
      <c r="D209" s="3">
        <v>-25.8748</v>
      </c>
      <c r="E209" s="3">
        <v>-27.863</v>
      </c>
      <c r="F209" s="3">
        <v>707.66179999999997</v>
      </c>
      <c r="G209" s="3">
        <v>16.325400000000002</v>
      </c>
      <c r="I209" s="1">
        <v>-60</v>
      </c>
      <c r="J209" s="1">
        <v>0</v>
      </c>
      <c r="K209" s="1">
        <v>0</v>
      </c>
      <c r="L209" s="1">
        <v>0</v>
      </c>
      <c r="M209" s="1">
        <v>-3</v>
      </c>
      <c r="N209" s="1">
        <v>0</v>
      </c>
      <c r="P209" s="2"/>
      <c r="Q209" s="2"/>
      <c r="R209" s="2"/>
      <c r="S209" s="2"/>
      <c r="T209" s="2"/>
      <c r="U209" s="2"/>
    </row>
    <row r="210" spans="2:21" x14ac:dyDescent="0.25">
      <c r="B210" s="3">
        <v>1138.9438</v>
      </c>
      <c r="C210" s="3">
        <v>2.0636000000000001</v>
      </c>
      <c r="D210" s="3">
        <v>-45.844000000000001</v>
      </c>
      <c r="E210" s="3">
        <v>-49.938599999999994</v>
      </c>
      <c r="F210" s="3">
        <v>1297.5128</v>
      </c>
      <c r="G210" s="3">
        <v>50.700000000000017</v>
      </c>
      <c r="I210" s="1">
        <v>-110</v>
      </c>
      <c r="J210" s="1">
        <v>0</v>
      </c>
      <c r="K210" s="1">
        <v>0</v>
      </c>
      <c r="L210" s="1">
        <v>0</v>
      </c>
      <c r="M210" s="1">
        <v>-5.5</v>
      </c>
      <c r="N210" s="1">
        <v>0</v>
      </c>
      <c r="P210" s="2"/>
      <c r="Q210" s="2"/>
      <c r="R210" s="2"/>
      <c r="S210" s="2"/>
      <c r="T210" s="2"/>
      <c r="U210" s="2"/>
    </row>
    <row r="211" spans="2:21" x14ac:dyDescent="0.25">
      <c r="B211" s="3">
        <v>1654.9142000000002</v>
      </c>
      <c r="C211" s="3">
        <v>2.8410000000000002</v>
      </c>
      <c r="D211" s="3">
        <v>-65.691200000000009</v>
      </c>
      <c r="E211" s="3">
        <v>-72.449599999999904</v>
      </c>
      <c r="F211" s="3">
        <v>1884.6437999999901</v>
      </c>
      <c r="G211" s="3">
        <v>77.390999999998996</v>
      </c>
      <c r="I211" s="1">
        <v>-160</v>
      </c>
      <c r="J211" s="1">
        <v>0</v>
      </c>
      <c r="K211" s="1">
        <v>0</v>
      </c>
      <c r="L211" s="1">
        <v>0</v>
      </c>
      <c r="M211" s="1">
        <v>-8</v>
      </c>
      <c r="N211" s="1">
        <v>0</v>
      </c>
      <c r="P211" s="2"/>
      <c r="Q211" s="2"/>
      <c r="R211" s="2"/>
      <c r="S211" s="2"/>
      <c r="T211" s="2"/>
      <c r="U211" s="2"/>
    </row>
    <row r="212" spans="2:21" x14ac:dyDescent="0.25">
      <c r="B212" s="3">
        <v>2170.8788</v>
      </c>
      <c r="C212" s="3">
        <v>3.4234</v>
      </c>
      <c r="D212" s="3">
        <v>-86.591399999999993</v>
      </c>
      <c r="E212" s="3">
        <v>-94.919399999999996</v>
      </c>
      <c r="F212" s="3">
        <v>2472.2098000000001</v>
      </c>
      <c r="G212" s="3">
        <v>106.99040000000002</v>
      </c>
      <c r="I212" s="1">
        <v>-210</v>
      </c>
      <c r="J212" s="1">
        <v>0</v>
      </c>
      <c r="K212" s="1">
        <v>0</v>
      </c>
      <c r="L212" s="1">
        <v>0</v>
      </c>
      <c r="M212" s="1">
        <v>-10.5</v>
      </c>
      <c r="N212" s="1">
        <v>0</v>
      </c>
      <c r="P212" s="2"/>
      <c r="Q212" s="2"/>
      <c r="R212" s="2"/>
      <c r="S212" s="2"/>
      <c r="T212" s="2"/>
      <c r="U212" s="2"/>
    </row>
    <row r="213" spans="2:21" x14ac:dyDescent="0.25">
      <c r="B213" s="3">
        <v>1654.1762000000001</v>
      </c>
      <c r="C213" s="3">
        <v>2.7854000000000001</v>
      </c>
      <c r="D213" s="3">
        <v>-64.705999999999989</v>
      </c>
      <c r="E213" s="3">
        <v>-72.278999999999897</v>
      </c>
      <c r="F213" s="3">
        <v>1883.8719999999901</v>
      </c>
      <c r="G213" s="3">
        <v>79.246999999999019</v>
      </c>
      <c r="I213" s="1">
        <v>-160</v>
      </c>
      <c r="J213" s="1">
        <v>0</v>
      </c>
      <c r="K213" s="1">
        <v>0</v>
      </c>
      <c r="L213" s="1">
        <v>0</v>
      </c>
      <c r="M213" s="1">
        <v>-8</v>
      </c>
      <c r="N213" s="1">
        <v>0</v>
      </c>
      <c r="P213" s="2"/>
      <c r="Q213" s="2"/>
      <c r="R213" s="2"/>
      <c r="S213" s="2"/>
      <c r="T213" s="2"/>
      <c r="U213" s="2"/>
    </row>
    <row r="214" spans="2:21" x14ac:dyDescent="0.25">
      <c r="B214" s="3">
        <v>1136.0734</v>
      </c>
      <c r="C214" s="3">
        <v>2.1179999999999897</v>
      </c>
      <c r="D214" s="3">
        <v>-44.285799999999902</v>
      </c>
      <c r="E214" s="3">
        <v>-50.075199999999995</v>
      </c>
      <c r="F214" s="3">
        <v>1294.317</v>
      </c>
      <c r="G214" s="3">
        <v>48.313999999998998</v>
      </c>
      <c r="I214" s="1">
        <v>-110</v>
      </c>
      <c r="J214" s="1">
        <v>0</v>
      </c>
      <c r="K214" s="1">
        <v>0</v>
      </c>
      <c r="L214" s="1">
        <v>0</v>
      </c>
      <c r="M214" s="1">
        <v>-5.5</v>
      </c>
      <c r="N214" s="1">
        <v>0</v>
      </c>
      <c r="P214" s="2"/>
      <c r="Q214" s="2"/>
      <c r="R214" s="2"/>
      <c r="S214" s="2"/>
      <c r="T214" s="2"/>
      <c r="U214" s="2"/>
    </row>
    <row r="215" spans="2:21" x14ac:dyDescent="0.25">
      <c r="B215" s="3">
        <v>617.02359999999999</v>
      </c>
      <c r="C215" s="3">
        <v>2.2875999999999896</v>
      </c>
      <c r="D215" s="3">
        <v>-23.622199999999999</v>
      </c>
      <c r="E215" s="3">
        <v>-28.410199999999996</v>
      </c>
      <c r="F215" s="3">
        <v>703.68799999999999</v>
      </c>
      <c r="G215" s="3">
        <v>13.495800000000003</v>
      </c>
      <c r="I215" s="1">
        <v>-60</v>
      </c>
      <c r="J215" s="1">
        <v>0</v>
      </c>
      <c r="K215" s="1">
        <v>0</v>
      </c>
      <c r="L215" s="1">
        <v>0</v>
      </c>
      <c r="M215" s="1">
        <v>-3</v>
      </c>
      <c r="N215" s="1">
        <v>0</v>
      </c>
      <c r="P215" s="2"/>
      <c r="Q215" s="2"/>
      <c r="R215" s="2"/>
      <c r="S215" s="2"/>
      <c r="T215" s="2"/>
      <c r="U215" s="2"/>
    </row>
    <row r="216" spans="2:21" x14ac:dyDescent="0.25">
      <c r="B216" s="3">
        <v>-5.7916000000000007</v>
      </c>
      <c r="C216" s="3">
        <v>0.14840000000000009</v>
      </c>
      <c r="D216" s="3">
        <v>2.3688000000000002</v>
      </c>
      <c r="E216" s="3">
        <v>0.33180000000000121</v>
      </c>
      <c r="F216" s="3">
        <v>-5.3482000000000003</v>
      </c>
      <c r="G216" s="3">
        <v>2.2572000000000116</v>
      </c>
      <c r="I216" s="1">
        <v>0</v>
      </c>
      <c r="J216" s="1">
        <v>0</v>
      </c>
      <c r="K216" s="1">
        <v>0</v>
      </c>
      <c r="L216" s="1">
        <v>0</v>
      </c>
      <c r="M216" s="1">
        <v>0</v>
      </c>
      <c r="N216" s="1">
        <v>0</v>
      </c>
      <c r="P216" s="2"/>
      <c r="Q216" s="2"/>
      <c r="R216" s="2"/>
      <c r="S216" s="2"/>
      <c r="T216" s="2"/>
      <c r="U216" s="2"/>
    </row>
    <row r="217" spans="2:21" x14ac:dyDescent="0.25">
      <c r="B217" s="3">
        <v>617.77239999999995</v>
      </c>
      <c r="C217" s="3">
        <v>1.9527999999999999</v>
      </c>
      <c r="D217" s="3">
        <v>-23.117800000000003</v>
      </c>
      <c r="E217" s="3">
        <v>-28.210799999999999</v>
      </c>
      <c r="F217" s="3">
        <v>704.66819999999996</v>
      </c>
      <c r="G217" s="3">
        <v>11.208599999998995</v>
      </c>
      <c r="I217" s="1">
        <v>-60</v>
      </c>
      <c r="J217" s="1">
        <v>0</v>
      </c>
      <c r="K217" s="1">
        <v>0</v>
      </c>
      <c r="L217" s="1">
        <v>0</v>
      </c>
      <c r="M217" s="1">
        <v>-3</v>
      </c>
      <c r="N217" s="1">
        <v>0</v>
      </c>
      <c r="P217" s="2"/>
      <c r="Q217" s="2"/>
      <c r="R217" s="2"/>
      <c r="S217" s="2"/>
      <c r="T217" s="2"/>
      <c r="U217" s="2"/>
    </row>
    <row r="218" spans="2:21" x14ac:dyDescent="0.25">
      <c r="B218" s="3">
        <v>1134.8002000000001</v>
      </c>
      <c r="C218" s="3">
        <v>3.2021999999999897</v>
      </c>
      <c r="D218" s="3">
        <v>-44.542400000000001</v>
      </c>
      <c r="E218" s="3">
        <v>-51.016399999999997</v>
      </c>
      <c r="F218" s="3">
        <v>1293.2498000000001</v>
      </c>
      <c r="G218" s="3">
        <v>33.3142</v>
      </c>
      <c r="I218" s="1">
        <v>-110</v>
      </c>
      <c r="J218" s="1">
        <v>0</v>
      </c>
      <c r="K218" s="1">
        <v>0</v>
      </c>
      <c r="L218" s="1">
        <v>0</v>
      </c>
      <c r="M218" s="1">
        <v>-5.5</v>
      </c>
      <c r="N218" s="1">
        <v>0</v>
      </c>
      <c r="P218" s="2"/>
      <c r="Q218" s="2"/>
      <c r="R218" s="2"/>
      <c r="S218" s="2"/>
      <c r="T218" s="2"/>
      <c r="U218" s="2"/>
    </row>
    <row r="219" spans="2:21" x14ac:dyDescent="0.25">
      <c r="B219" s="3">
        <v>1652.6998000000001</v>
      </c>
      <c r="C219" s="3">
        <v>4.6231999999999998</v>
      </c>
      <c r="D219" s="3">
        <v>-65.387</v>
      </c>
      <c r="E219" s="3">
        <v>-74.509399999999999</v>
      </c>
      <c r="F219" s="3">
        <v>1882.489</v>
      </c>
      <c r="G219" s="3">
        <v>54.741000000000014</v>
      </c>
      <c r="I219" s="1">
        <v>-160</v>
      </c>
      <c r="J219" s="1">
        <v>0</v>
      </c>
      <c r="K219" s="1">
        <v>0</v>
      </c>
      <c r="L219" s="1">
        <v>0</v>
      </c>
      <c r="M219" s="1">
        <v>-8</v>
      </c>
      <c r="N219" s="1">
        <v>0</v>
      </c>
      <c r="P219" s="2"/>
      <c r="Q219" s="2"/>
      <c r="R219" s="2"/>
      <c r="S219" s="2"/>
      <c r="T219" s="2"/>
      <c r="U219" s="2"/>
    </row>
    <row r="220" spans="2:21" x14ac:dyDescent="0.25">
      <c r="B220" s="3">
        <v>2167.3436000000002</v>
      </c>
      <c r="C220" s="3">
        <v>5.7993999999999994</v>
      </c>
      <c r="D220" s="3">
        <v>-85.137200000000007</v>
      </c>
      <c r="E220" s="3">
        <v>-97.192999999999998</v>
      </c>
      <c r="F220" s="3">
        <v>2468.2287999999999</v>
      </c>
      <c r="G220" s="3">
        <v>73.766800000000018</v>
      </c>
      <c r="I220" s="1">
        <v>-210</v>
      </c>
      <c r="J220" s="1">
        <v>0</v>
      </c>
      <c r="K220" s="1">
        <v>0</v>
      </c>
      <c r="L220" s="1">
        <v>0</v>
      </c>
      <c r="M220" s="1">
        <v>-10.5</v>
      </c>
      <c r="N220" s="1">
        <v>0</v>
      </c>
      <c r="P220" s="2"/>
      <c r="Q220" s="2"/>
      <c r="R220" s="2"/>
      <c r="S220" s="2"/>
      <c r="T220" s="2"/>
      <c r="U220" s="2"/>
    </row>
    <row r="221" spans="2:21" x14ac:dyDescent="0.25">
      <c r="B221" s="3">
        <v>1654.1762000000001</v>
      </c>
      <c r="C221" s="3">
        <v>2.7854000000000001</v>
      </c>
      <c r="D221" s="3">
        <v>-64.705999999999989</v>
      </c>
      <c r="E221" s="3">
        <v>-72.278999999999897</v>
      </c>
      <c r="F221" s="3">
        <v>1883.8719999999901</v>
      </c>
      <c r="G221" s="3">
        <v>79.246999999999019</v>
      </c>
      <c r="I221" s="1">
        <v>-160</v>
      </c>
      <c r="J221" s="1">
        <v>0</v>
      </c>
      <c r="K221" s="1">
        <v>0</v>
      </c>
      <c r="L221" s="1">
        <v>0</v>
      </c>
      <c r="M221" s="1">
        <v>-8</v>
      </c>
      <c r="N221" s="1">
        <v>0</v>
      </c>
      <c r="P221" s="2"/>
      <c r="Q221" s="2"/>
      <c r="R221" s="2"/>
      <c r="S221" s="2"/>
      <c r="T221" s="2"/>
      <c r="U221" s="2"/>
    </row>
    <row r="222" spans="2:21" x14ac:dyDescent="0.25">
      <c r="B222" s="3">
        <v>1136.0734</v>
      </c>
      <c r="C222" s="3">
        <v>2.1179999999999897</v>
      </c>
      <c r="D222" s="3">
        <v>-44.285799999999902</v>
      </c>
      <c r="E222" s="3">
        <v>-50.075199999999995</v>
      </c>
      <c r="F222" s="3">
        <v>1294.317</v>
      </c>
      <c r="G222" s="3">
        <v>48.313999999998998</v>
      </c>
      <c r="I222" s="1">
        <v>-110</v>
      </c>
      <c r="J222" s="1">
        <v>0</v>
      </c>
      <c r="K222" s="1">
        <v>0</v>
      </c>
      <c r="L222" s="1">
        <v>0</v>
      </c>
      <c r="M222" s="1">
        <v>-5.5</v>
      </c>
      <c r="N222" s="1">
        <v>0</v>
      </c>
      <c r="P222" s="2"/>
      <c r="Q222" s="2"/>
      <c r="R222" s="2"/>
      <c r="S222" s="2"/>
      <c r="T222" s="2"/>
      <c r="U222" s="2"/>
    </row>
    <row r="223" spans="2:21" x14ac:dyDescent="0.25">
      <c r="B223" s="3">
        <v>617.02359999999999</v>
      </c>
      <c r="C223" s="3">
        <v>2.2875999999999896</v>
      </c>
      <c r="D223" s="3">
        <v>-23.622199999999999</v>
      </c>
      <c r="E223" s="3">
        <v>-28.410199999999996</v>
      </c>
      <c r="F223" s="3">
        <v>703.68799999999999</v>
      </c>
      <c r="G223" s="3">
        <v>13.495800000000003</v>
      </c>
      <c r="I223" s="1">
        <v>-60</v>
      </c>
      <c r="J223" s="1">
        <v>0</v>
      </c>
      <c r="K223" s="1">
        <v>0</v>
      </c>
      <c r="L223" s="1">
        <v>0</v>
      </c>
      <c r="M223" s="1">
        <v>-3</v>
      </c>
      <c r="N223" s="1">
        <v>0</v>
      </c>
      <c r="P223" s="2"/>
      <c r="Q223" s="2"/>
      <c r="R223" s="2"/>
      <c r="S223" s="2"/>
      <c r="T223" s="2"/>
      <c r="U223" s="2"/>
    </row>
    <row r="224" spans="2:21" x14ac:dyDescent="0.25">
      <c r="B224" s="3">
        <v>-5.7916000000000007</v>
      </c>
      <c r="C224" s="3">
        <v>0.14840000000000009</v>
      </c>
      <c r="D224" s="3">
        <v>2.3688000000000002</v>
      </c>
      <c r="E224" s="3">
        <v>0.33180000000000121</v>
      </c>
      <c r="F224" s="3">
        <v>-5.3482000000000003</v>
      </c>
      <c r="G224" s="3">
        <v>2.2572000000000116</v>
      </c>
      <c r="I224" s="1">
        <v>0</v>
      </c>
      <c r="J224" s="1">
        <v>0</v>
      </c>
      <c r="K224" s="1">
        <v>0</v>
      </c>
      <c r="L224" s="1">
        <v>0</v>
      </c>
      <c r="M224" s="1">
        <v>0</v>
      </c>
      <c r="N224" s="1">
        <v>0</v>
      </c>
      <c r="P224" s="2"/>
      <c r="Q224" s="2"/>
      <c r="R224" s="2"/>
      <c r="S224" s="2"/>
      <c r="T224" s="2"/>
      <c r="U224" s="2"/>
    </row>
    <row r="225" spans="1:21" x14ac:dyDescent="0.25">
      <c r="B225" s="3">
        <v>617.77239999999995</v>
      </c>
      <c r="C225" s="3">
        <v>1.9527999999999999</v>
      </c>
      <c r="D225" s="3">
        <v>-23.117800000000003</v>
      </c>
      <c r="E225" s="3">
        <v>-28.210799999999999</v>
      </c>
      <c r="F225" s="3">
        <v>704.66819999999996</v>
      </c>
      <c r="G225" s="3">
        <v>11.208599999998995</v>
      </c>
      <c r="I225" s="1">
        <v>-60</v>
      </c>
      <c r="J225" s="1">
        <v>0</v>
      </c>
      <c r="K225" s="1">
        <v>0</v>
      </c>
      <c r="L225" s="1">
        <v>0</v>
      </c>
      <c r="M225" s="1">
        <v>-3</v>
      </c>
      <c r="N225" s="1">
        <v>0</v>
      </c>
      <c r="P225" s="2"/>
      <c r="Q225" s="2"/>
      <c r="R225" s="2"/>
      <c r="S225" s="2"/>
      <c r="T225" s="2"/>
      <c r="U225" s="2"/>
    </row>
    <row r="226" spans="1:21" x14ac:dyDescent="0.25">
      <c r="B226" s="3">
        <v>1134.8002000000001</v>
      </c>
      <c r="C226" s="3">
        <v>3.2021999999999897</v>
      </c>
      <c r="D226" s="3">
        <v>-44.542400000000001</v>
      </c>
      <c r="E226" s="3">
        <v>-51.016399999999997</v>
      </c>
      <c r="F226" s="3">
        <v>1293.2498000000001</v>
      </c>
      <c r="G226" s="3">
        <v>33.3142</v>
      </c>
      <c r="I226" s="1">
        <v>-110</v>
      </c>
      <c r="J226" s="1">
        <v>0</v>
      </c>
      <c r="K226" s="1">
        <v>0</v>
      </c>
      <c r="L226" s="1">
        <v>0</v>
      </c>
      <c r="M226" s="1">
        <v>-5.5</v>
      </c>
      <c r="N226" s="1">
        <v>0</v>
      </c>
      <c r="P226" s="2"/>
      <c r="Q226" s="2"/>
      <c r="R226" s="2"/>
      <c r="S226" s="2"/>
      <c r="T226" s="2"/>
      <c r="U226" s="2"/>
    </row>
    <row r="227" spans="1:21" x14ac:dyDescent="0.25">
      <c r="B227" s="3">
        <v>1652.6998000000001</v>
      </c>
      <c r="C227" s="3">
        <v>4.6231999999999998</v>
      </c>
      <c r="D227" s="3">
        <v>-65.387</v>
      </c>
      <c r="E227" s="3">
        <v>-74.509399999999999</v>
      </c>
      <c r="F227" s="3">
        <v>1882.489</v>
      </c>
      <c r="G227" s="3">
        <v>54.741000000000014</v>
      </c>
      <c r="I227" s="1">
        <v>-160</v>
      </c>
      <c r="J227" s="1">
        <v>0</v>
      </c>
      <c r="K227" s="1">
        <v>0</v>
      </c>
      <c r="L227" s="1">
        <v>0</v>
      </c>
      <c r="M227" s="1">
        <v>-8</v>
      </c>
      <c r="N227" s="1">
        <v>0</v>
      </c>
      <c r="P227" s="2"/>
      <c r="Q227" s="2"/>
      <c r="R227" s="2"/>
      <c r="S227" s="2"/>
      <c r="T227" s="2"/>
      <c r="U227" s="2"/>
    </row>
    <row r="228" spans="1:21" x14ac:dyDescent="0.25">
      <c r="B228" s="3">
        <v>2167.3436000000002</v>
      </c>
      <c r="C228" s="3">
        <v>5.7993999999999994</v>
      </c>
      <c r="D228" s="3">
        <v>-85.137200000000007</v>
      </c>
      <c r="E228" s="3">
        <v>-97.192999999999998</v>
      </c>
      <c r="F228" s="3">
        <v>2468.2287999999999</v>
      </c>
      <c r="G228" s="3">
        <v>73.766800000000018</v>
      </c>
      <c r="I228" s="1">
        <v>-210</v>
      </c>
      <c r="J228" s="1">
        <v>0</v>
      </c>
      <c r="K228" s="1">
        <v>0</v>
      </c>
      <c r="L228" s="1">
        <v>0</v>
      </c>
      <c r="M228" s="1">
        <v>-10.5</v>
      </c>
      <c r="N228" s="1">
        <v>0</v>
      </c>
      <c r="P228" s="2"/>
      <c r="Q228" s="2"/>
      <c r="R228" s="2"/>
      <c r="S228" s="2"/>
      <c r="T228" s="2"/>
      <c r="U228" s="2"/>
    </row>
    <row r="229" spans="1:21" x14ac:dyDescent="0.25">
      <c r="B229" s="3">
        <v>1654.1762000000001</v>
      </c>
      <c r="C229" s="3">
        <v>2.7854000000000001</v>
      </c>
      <c r="D229" s="3">
        <v>-64.705999999999989</v>
      </c>
      <c r="E229" s="3">
        <v>-72.278999999999897</v>
      </c>
      <c r="F229" s="3">
        <v>1883.8719999999901</v>
      </c>
      <c r="G229" s="3">
        <v>79.246999999999019</v>
      </c>
      <c r="I229" s="1">
        <v>-160</v>
      </c>
      <c r="J229" s="1">
        <v>0</v>
      </c>
      <c r="K229" s="1">
        <v>0</v>
      </c>
      <c r="L229" s="1">
        <v>0</v>
      </c>
      <c r="M229" s="1">
        <v>-8</v>
      </c>
      <c r="N229" s="1">
        <v>0</v>
      </c>
      <c r="P229" s="2"/>
      <c r="Q229" s="2"/>
      <c r="R229" s="2"/>
      <c r="S229" s="2"/>
      <c r="T229" s="2"/>
      <c r="U229" s="2"/>
    </row>
    <row r="230" spans="1:21" x14ac:dyDescent="0.25">
      <c r="B230" s="3">
        <v>1136.0734</v>
      </c>
      <c r="C230" s="3">
        <v>2.1179999999999897</v>
      </c>
      <c r="D230" s="3">
        <v>-44.285799999999902</v>
      </c>
      <c r="E230" s="3">
        <v>-50.075199999999995</v>
      </c>
      <c r="F230" s="3">
        <v>1294.317</v>
      </c>
      <c r="G230" s="3">
        <v>48.313999999998998</v>
      </c>
      <c r="I230" s="1">
        <v>-110</v>
      </c>
      <c r="J230" s="1">
        <v>0</v>
      </c>
      <c r="K230" s="1">
        <v>0</v>
      </c>
      <c r="L230" s="1">
        <v>0</v>
      </c>
      <c r="M230" s="1">
        <v>-5.5</v>
      </c>
      <c r="N230" s="1">
        <v>0</v>
      </c>
      <c r="P230" s="2"/>
      <c r="Q230" s="2"/>
      <c r="R230" s="2"/>
      <c r="S230" s="2"/>
      <c r="T230" s="2"/>
      <c r="U230" s="2"/>
    </row>
    <row r="231" spans="1:21" x14ac:dyDescent="0.25">
      <c r="B231" s="3">
        <v>617.02359999999999</v>
      </c>
      <c r="C231" s="3">
        <v>2.2875999999999896</v>
      </c>
      <c r="D231" s="3">
        <v>-23.622199999999999</v>
      </c>
      <c r="E231" s="3">
        <v>-28.410199999999996</v>
      </c>
      <c r="F231" s="3">
        <v>703.68799999999999</v>
      </c>
      <c r="G231" s="3">
        <v>13.495800000000003</v>
      </c>
      <c r="I231" s="1">
        <v>-60</v>
      </c>
      <c r="J231" s="1">
        <v>0</v>
      </c>
      <c r="K231" s="1">
        <v>0</v>
      </c>
      <c r="L231" s="1">
        <v>0</v>
      </c>
      <c r="M231" s="1">
        <v>-3</v>
      </c>
      <c r="N231" s="1">
        <v>0</v>
      </c>
      <c r="P231" s="2"/>
      <c r="Q231" s="2"/>
      <c r="R231" s="2"/>
      <c r="S231" s="2"/>
      <c r="T231" s="2"/>
      <c r="U231" s="2"/>
    </row>
    <row r="232" spans="1:21" x14ac:dyDescent="0.25">
      <c r="B232" s="3">
        <v>-5.7916000000000007</v>
      </c>
      <c r="C232" s="3">
        <v>0.14840000000000009</v>
      </c>
      <c r="D232" s="3">
        <v>2.3688000000000002</v>
      </c>
      <c r="E232" s="3">
        <v>0.33180000000000121</v>
      </c>
      <c r="F232" s="3">
        <v>-5.3482000000000003</v>
      </c>
      <c r="G232" s="3">
        <v>2.2572000000000116</v>
      </c>
      <c r="I232" s="1">
        <v>0</v>
      </c>
      <c r="J232" s="1">
        <v>0</v>
      </c>
      <c r="K232" s="1">
        <v>0</v>
      </c>
      <c r="L232" s="1">
        <v>0</v>
      </c>
      <c r="M232" s="1">
        <v>0</v>
      </c>
      <c r="N232" s="1">
        <v>0</v>
      </c>
      <c r="P232" s="2"/>
      <c r="Q232" s="2"/>
      <c r="R232" s="2"/>
      <c r="S232" s="2"/>
      <c r="T232" s="2"/>
      <c r="U232" s="2"/>
    </row>
    <row r="233" spans="1:21" x14ac:dyDescent="0.25">
      <c r="A233">
        <v>1</v>
      </c>
      <c r="B233" s="3">
        <v>0</v>
      </c>
      <c r="C233" s="3">
        <v>0</v>
      </c>
      <c r="D233" s="3">
        <v>0</v>
      </c>
      <c r="E233" s="3">
        <v>0</v>
      </c>
      <c r="F233" s="3">
        <v>0</v>
      </c>
      <c r="G233" s="3">
        <v>0</v>
      </c>
      <c r="I233" s="1">
        <v>0</v>
      </c>
      <c r="J233" s="1">
        <v>0</v>
      </c>
      <c r="K233" s="1">
        <v>0</v>
      </c>
      <c r="L233" s="1">
        <v>0</v>
      </c>
      <c r="M233" s="1">
        <v>0</v>
      </c>
      <c r="N233" s="1">
        <v>0</v>
      </c>
      <c r="P233" s="2"/>
      <c r="Q233" s="2"/>
      <c r="R233" s="2"/>
      <c r="S233" s="2"/>
      <c r="T233" s="2"/>
      <c r="U233" s="2"/>
    </row>
    <row r="234" spans="1:21" x14ac:dyDescent="0.25">
      <c r="B234" s="3">
        <v>-0.45279999999999987</v>
      </c>
      <c r="C234" s="3">
        <v>0.66820000000001034</v>
      </c>
      <c r="D234" s="3">
        <v>9.2999999999999972E-2</v>
      </c>
      <c r="E234" s="3">
        <v>0.46340000000000003</v>
      </c>
      <c r="F234" s="3">
        <v>1.5991999999999997</v>
      </c>
      <c r="G234" s="3">
        <v>-315.46419999999898</v>
      </c>
      <c r="I234" s="1">
        <v>0</v>
      </c>
      <c r="J234" s="1">
        <v>0</v>
      </c>
      <c r="K234" s="1">
        <v>0</v>
      </c>
      <c r="L234" s="1">
        <v>0</v>
      </c>
      <c r="M234" s="1">
        <v>0</v>
      </c>
      <c r="N234" s="1">
        <v>1</v>
      </c>
      <c r="P234" s="2"/>
      <c r="Q234" s="2"/>
      <c r="R234" s="2"/>
      <c r="S234" s="2"/>
      <c r="T234" s="2"/>
      <c r="U234" s="2"/>
    </row>
    <row r="235" spans="1:21" x14ac:dyDescent="0.25">
      <c r="B235" s="3">
        <v>-1.6652000000000005</v>
      </c>
      <c r="C235" s="3">
        <v>0.46420000000000972</v>
      </c>
      <c r="D235" s="3">
        <v>1.2238000000000007</v>
      </c>
      <c r="E235" s="3">
        <v>0.78099999999989933</v>
      </c>
      <c r="F235" s="3">
        <v>2.4739999999999993</v>
      </c>
      <c r="G235" s="3">
        <v>-629.38159999999903</v>
      </c>
      <c r="I235" s="1">
        <v>0</v>
      </c>
      <c r="J235" s="1">
        <v>0</v>
      </c>
      <c r="K235" s="1">
        <v>0</v>
      </c>
      <c r="L235" s="1">
        <v>0</v>
      </c>
      <c r="M235" s="1">
        <v>0</v>
      </c>
      <c r="N235" s="1">
        <v>2</v>
      </c>
      <c r="P235" s="2"/>
      <c r="Q235" s="2"/>
      <c r="R235" s="2"/>
      <c r="S235" s="2"/>
      <c r="T235" s="2"/>
      <c r="U235" s="2"/>
    </row>
    <row r="236" spans="1:21" x14ac:dyDescent="0.25">
      <c r="B236" s="3">
        <v>-6.7605999999998989</v>
      </c>
      <c r="C236" s="3">
        <v>0.58920000000000972</v>
      </c>
      <c r="D236" s="3">
        <v>6.5708000000000002</v>
      </c>
      <c r="E236" s="3">
        <v>4.2956000000000003</v>
      </c>
      <c r="F236" s="3">
        <v>6.5823999999999998</v>
      </c>
      <c r="G236" s="3">
        <v>-2203.1088</v>
      </c>
      <c r="I236" s="1">
        <v>0</v>
      </c>
      <c r="J236" s="1">
        <v>0</v>
      </c>
      <c r="K236" s="1">
        <v>0</v>
      </c>
      <c r="L236" s="1">
        <v>0</v>
      </c>
      <c r="M236" s="1">
        <v>0</v>
      </c>
      <c r="N236" s="1">
        <v>7</v>
      </c>
      <c r="P236" s="2"/>
      <c r="Q236" s="2"/>
      <c r="R236" s="2"/>
      <c r="S236" s="2"/>
      <c r="T236" s="2"/>
      <c r="U236" s="2"/>
    </row>
    <row r="237" spans="1:21" x14ac:dyDescent="0.25">
      <c r="B237" s="3">
        <v>-2.334399999999901</v>
      </c>
      <c r="C237" s="3">
        <v>0.45180000000001019</v>
      </c>
      <c r="D237" s="3">
        <v>1.7070000000001002</v>
      </c>
      <c r="E237" s="3">
        <v>0.85839999999999961</v>
      </c>
      <c r="F237" s="3">
        <v>1.8026</v>
      </c>
      <c r="G237" s="3">
        <v>-632.19780000000003</v>
      </c>
      <c r="I237" s="1">
        <v>0</v>
      </c>
      <c r="J237" s="1">
        <v>0</v>
      </c>
      <c r="K237" s="1">
        <v>0</v>
      </c>
      <c r="L237" s="1">
        <v>0</v>
      </c>
      <c r="M237" s="1">
        <v>0</v>
      </c>
      <c r="N237" s="1">
        <v>2</v>
      </c>
      <c r="P237" s="2"/>
      <c r="Q237" s="2"/>
      <c r="R237" s="2"/>
      <c r="S237" s="2"/>
      <c r="T237" s="2"/>
      <c r="U237" s="2"/>
    </row>
    <row r="238" spans="1:21" x14ac:dyDescent="0.25">
      <c r="B238" s="3">
        <v>-1.0573999999999</v>
      </c>
      <c r="C238" s="3">
        <v>0.55480000000000995</v>
      </c>
      <c r="D238" s="3">
        <v>1.2234000000001011</v>
      </c>
      <c r="E238" s="3">
        <v>0.1039999999999992</v>
      </c>
      <c r="F238" s="3">
        <v>1.2387999999999995</v>
      </c>
      <c r="G238" s="3">
        <v>-317.71379999999999</v>
      </c>
      <c r="I238" s="1">
        <v>0</v>
      </c>
      <c r="J238" s="1">
        <v>0</v>
      </c>
      <c r="K238" s="1">
        <v>0</v>
      </c>
      <c r="L238" s="1">
        <v>0</v>
      </c>
      <c r="M238" s="1">
        <v>0</v>
      </c>
      <c r="N238" s="1">
        <v>1</v>
      </c>
      <c r="P238" s="2"/>
      <c r="Q238" s="2"/>
      <c r="R238" s="2"/>
      <c r="S238" s="2"/>
      <c r="T238" s="2"/>
      <c r="U238" s="2"/>
    </row>
    <row r="239" spans="1:21" x14ac:dyDescent="0.25">
      <c r="B239" s="3">
        <v>0.74380000000000024</v>
      </c>
      <c r="C239" s="3">
        <v>-0.12339999999998996</v>
      </c>
      <c r="D239" s="3">
        <v>0.62260000000000026</v>
      </c>
      <c r="E239" s="3">
        <v>-0.29660000000009745</v>
      </c>
      <c r="F239" s="3">
        <v>1.0225999999999988</v>
      </c>
      <c r="G239" s="3">
        <v>-3.4343999999999824</v>
      </c>
      <c r="I239" s="1">
        <v>0</v>
      </c>
      <c r="J239" s="1">
        <v>0</v>
      </c>
      <c r="K239" s="1">
        <v>0</v>
      </c>
      <c r="L239" s="1">
        <v>0</v>
      </c>
      <c r="M239" s="1">
        <v>0</v>
      </c>
      <c r="N239" s="1">
        <v>0</v>
      </c>
      <c r="P239" s="2"/>
      <c r="Q239" s="2"/>
      <c r="R239" s="2"/>
      <c r="S239" s="2"/>
      <c r="T239" s="2"/>
      <c r="U239" s="2"/>
    </row>
    <row r="240" spans="1:21" x14ac:dyDescent="0.25">
      <c r="B240" s="3">
        <v>-7.0399999999899876E-2</v>
      </c>
      <c r="C240" s="3">
        <v>0.48620000000000996</v>
      </c>
      <c r="D240" s="3">
        <v>0.35000000000000142</v>
      </c>
      <c r="E240" s="3">
        <v>-5.6400000000000006E-2</v>
      </c>
      <c r="F240" s="3">
        <v>2.1039999999999992</v>
      </c>
      <c r="G240" s="3">
        <v>-315.6454</v>
      </c>
      <c r="I240" s="1">
        <v>0</v>
      </c>
      <c r="J240" s="1">
        <v>0</v>
      </c>
      <c r="K240" s="1">
        <v>0</v>
      </c>
      <c r="L240" s="1">
        <v>0</v>
      </c>
      <c r="M240" s="1">
        <v>0</v>
      </c>
      <c r="N240" s="1">
        <v>1</v>
      </c>
      <c r="P240" s="2"/>
      <c r="Q240" s="2"/>
      <c r="R240" s="2"/>
      <c r="S240" s="2"/>
      <c r="T240" s="2"/>
      <c r="U240" s="2"/>
    </row>
    <row r="241" spans="1:21" x14ac:dyDescent="0.25">
      <c r="B241" s="3">
        <v>-1.6095999999999009</v>
      </c>
      <c r="C241" s="3">
        <v>0.23899999999999988</v>
      </c>
      <c r="D241" s="3">
        <v>2.1894000000000009</v>
      </c>
      <c r="E241" s="3">
        <v>0.97660000000000124</v>
      </c>
      <c r="F241" s="3">
        <v>2.5847999999999995</v>
      </c>
      <c r="G241" s="3">
        <v>-622.31459999999902</v>
      </c>
      <c r="I241" s="1">
        <v>0</v>
      </c>
      <c r="J241" s="1">
        <v>0</v>
      </c>
      <c r="K241" s="1">
        <v>0</v>
      </c>
      <c r="L241" s="1">
        <v>0</v>
      </c>
      <c r="M241" s="1">
        <v>0</v>
      </c>
      <c r="N241" s="1">
        <v>2</v>
      </c>
      <c r="P241" s="2"/>
      <c r="Q241" s="2"/>
      <c r="R241" s="2"/>
      <c r="S241" s="2"/>
      <c r="T241" s="2"/>
      <c r="U241" s="2"/>
    </row>
    <row r="242" spans="1:21" x14ac:dyDescent="0.25">
      <c r="B242" s="3">
        <v>-6.5375999999999994</v>
      </c>
      <c r="C242" s="3">
        <v>3.220000000001022E-2</v>
      </c>
      <c r="D242" s="3">
        <v>7.1610000000000102</v>
      </c>
      <c r="E242" s="3">
        <v>4.0990000000000002</v>
      </c>
      <c r="F242" s="3">
        <v>7.0372000000000092</v>
      </c>
      <c r="G242" s="3">
        <v>-2167.88239999999</v>
      </c>
      <c r="I242" s="1">
        <v>0</v>
      </c>
      <c r="J242" s="1">
        <v>0</v>
      </c>
      <c r="K242" s="1">
        <v>0</v>
      </c>
      <c r="L242" s="1">
        <v>0</v>
      </c>
      <c r="M242" s="1">
        <v>0</v>
      </c>
      <c r="N242" s="1">
        <v>7</v>
      </c>
      <c r="P242" s="2"/>
      <c r="Q242" s="2"/>
      <c r="R242" s="2"/>
      <c r="S242" s="2"/>
      <c r="T242" s="2"/>
      <c r="U242" s="2"/>
    </row>
    <row r="243" spans="1:21" x14ac:dyDescent="0.25">
      <c r="B243" s="3">
        <v>-2.334399999999901</v>
      </c>
      <c r="C243" s="3">
        <v>0.45180000000001019</v>
      </c>
      <c r="D243" s="3">
        <v>1.7070000000001002</v>
      </c>
      <c r="E243" s="3">
        <v>0.85839999999999961</v>
      </c>
      <c r="F243" s="3">
        <v>1.8026</v>
      </c>
      <c r="G243" s="3">
        <v>-632.19780000000003</v>
      </c>
      <c r="I243" s="1">
        <v>0</v>
      </c>
      <c r="J243" s="1">
        <v>0</v>
      </c>
      <c r="K243" s="1">
        <v>0</v>
      </c>
      <c r="L243" s="1">
        <v>0</v>
      </c>
      <c r="M243" s="1">
        <v>0</v>
      </c>
      <c r="N243" s="1">
        <v>2</v>
      </c>
      <c r="P243" s="2"/>
      <c r="Q243" s="2"/>
      <c r="R243" s="2"/>
      <c r="S243" s="2"/>
      <c r="T243" s="2"/>
      <c r="U243" s="2"/>
    </row>
    <row r="244" spans="1:21" x14ac:dyDescent="0.25">
      <c r="B244" s="3">
        <v>-1.0573999999999</v>
      </c>
      <c r="C244" s="3">
        <v>0.55480000000000995</v>
      </c>
      <c r="D244" s="3">
        <v>1.2234000000001011</v>
      </c>
      <c r="E244" s="3">
        <v>0.1039999999999992</v>
      </c>
      <c r="F244" s="3">
        <v>1.2387999999999995</v>
      </c>
      <c r="G244" s="3">
        <v>-317.71379999999999</v>
      </c>
      <c r="I244" s="1">
        <v>0</v>
      </c>
      <c r="J244" s="1">
        <v>0</v>
      </c>
      <c r="K244" s="1">
        <v>0</v>
      </c>
      <c r="L244" s="1">
        <v>0</v>
      </c>
      <c r="M244" s="1">
        <v>0</v>
      </c>
      <c r="N244" s="1">
        <v>1</v>
      </c>
      <c r="P244" s="2"/>
      <c r="Q244" s="2"/>
      <c r="R244" s="2"/>
      <c r="S244" s="2"/>
      <c r="T244" s="2"/>
      <c r="U244" s="2"/>
    </row>
    <row r="245" spans="1:21" x14ac:dyDescent="0.25">
      <c r="B245" s="3">
        <v>0.74380000000000024</v>
      </c>
      <c r="C245" s="3">
        <v>-0.12339999999998996</v>
      </c>
      <c r="D245" s="3">
        <v>0.62260000000000026</v>
      </c>
      <c r="E245" s="3">
        <v>-0.29660000000009745</v>
      </c>
      <c r="F245" s="3">
        <v>1.0225999999999988</v>
      </c>
      <c r="G245" s="3">
        <v>-3.4343999999999824</v>
      </c>
      <c r="I245" s="1">
        <v>0</v>
      </c>
      <c r="J245" s="1">
        <v>0</v>
      </c>
      <c r="K245" s="1">
        <v>0</v>
      </c>
      <c r="L245" s="1">
        <v>0</v>
      </c>
      <c r="M245" s="1">
        <v>0</v>
      </c>
      <c r="N245" s="1">
        <v>0</v>
      </c>
      <c r="P245" s="2"/>
      <c r="Q245" s="2"/>
      <c r="R245" s="2"/>
      <c r="S245" s="2"/>
      <c r="T245" s="2"/>
      <c r="U245" s="2"/>
    </row>
    <row r="246" spans="1:21" x14ac:dyDescent="0.25">
      <c r="B246" s="3">
        <v>-0.45279999999999987</v>
      </c>
      <c r="C246" s="3">
        <v>0.66820000000001034</v>
      </c>
      <c r="D246" s="3">
        <v>9.2999999999999972E-2</v>
      </c>
      <c r="E246" s="3">
        <v>0.46340000000000003</v>
      </c>
      <c r="F246" s="3">
        <v>1.5991999999999997</v>
      </c>
      <c r="G246" s="3">
        <v>-315.46419999999898</v>
      </c>
      <c r="I246" s="1">
        <v>0</v>
      </c>
      <c r="J246" s="1">
        <v>0</v>
      </c>
      <c r="K246" s="1">
        <v>0</v>
      </c>
      <c r="L246" s="1">
        <v>0</v>
      </c>
      <c r="M246" s="1">
        <v>0</v>
      </c>
      <c r="N246" s="1">
        <v>1</v>
      </c>
      <c r="P246" s="2"/>
      <c r="Q246" s="2"/>
      <c r="R246" s="2"/>
      <c r="S246" s="2"/>
      <c r="T246" s="2"/>
      <c r="U246" s="2"/>
    </row>
    <row r="247" spans="1:21" x14ac:dyDescent="0.25">
      <c r="B247" s="3">
        <v>-1.6652000000000005</v>
      </c>
      <c r="C247" s="3">
        <v>0.46420000000000972</v>
      </c>
      <c r="D247" s="3">
        <v>1.2238000000000007</v>
      </c>
      <c r="E247" s="3">
        <v>0.78099999999989933</v>
      </c>
      <c r="F247" s="3">
        <v>2.4739999999999993</v>
      </c>
      <c r="G247" s="3">
        <v>-629.38159999999903</v>
      </c>
      <c r="I247" s="1">
        <v>0</v>
      </c>
      <c r="J247" s="1">
        <v>0</v>
      </c>
      <c r="K247" s="1">
        <v>0</v>
      </c>
      <c r="L247" s="1">
        <v>0</v>
      </c>
      <c r="M247" s="1">
        <v>0</v>
      </c>
      <c r="N247" s="1">
        <v>2</v>
      </c>
      <c r="P247" s="2"/>
      <c r="Q247" s="2"/>
      <c r="R247" s="2"/>
      <c r="S247" s="2"/>
      <c r="T247" s="2"/>
      <c r="U247" s="2"/>
    </row>
    <row r="248" spans="1:21" x14ac:dyDescent="0.25">
      <c r="B248" s="3">
        <v>-6.7605999999998989</v>
      </c>
      <c r="C248" s="3">
        <v>0.58920000000000972</v>
      </c>
      <c r="D248" s="3">
        <v>6.5708000000000002</v>
      </c>
      <c r="E248" s="3">
        <v>4.2956000000000003</v>
      </c>
      <c r="F248" s="3">
        <v>6.5823999999999998</v>
      </c>
      <c r="G248" s="3">
        <v>-2203.1088</v>
      </c>
      <c r="I248" s="1">
        <v>0</v>
      </c>
      <c r="J248" s="1">
        <v>0</v>
      </c>
      <c r="K248" s="1">
        <v>0</v>
      </c>
      <c r="L248" s="1">
        <v>0</v>
      </c>
      <c r="M248" s="1">
        <v>0</v>
      </c>
      <c r="N248" s="1">
        <v>7</v>
      </c>
      <c r="P248" s="2"/>
      <c r="Q248" s="2"/>
      <c r="R248" s="2"/>
      <c r="S248" s="2"/>
      <c r="T248" s="2"/>
      <c r="U248" s="2"/>
    </row>
    <row r="249" spans="1:21" x14ac:dyDescent="0.25">
      <c r="B249" s="3">
        <v>-2.334399999999901</v>
      </c>
      <c r="C249" s="3">
        <v>0.45180000000001019</v>
      </c>
      <c r="D249" s="3">
        <v>1.7070000000001002</v>
      </c>
      <c r="E249" s="3">
        <v>0.85839999999999961</v>
      </c>
      <c r="F249" s="3">
        <v>1.8026</v>
      </c>
      <c r="G249" s="3">
        <v>-632.19780000000003</v>
      </c>
      <c r="I249" s="1">
        <v>0</v>
      </c>
      <c r="J249" s="1">
        <v>0</v>
      </c>
      <c r="K249" s="1">
        <v>0</v>
      </c>
      <c r="L249" s="1">
        <v>0</v>
      </c>
      <c r="M249" s="1">
        <v>0</v>
      </c>
      <c r="N249" s="1">
        <v>2</v>
      </c>
      <c r="P249" s="2"/>
      <c r="Q249" s="2"/>
      <c r="R249" s="2"/>
      <c r="S249" s="2"/>
      <c r="T249" s="2"/>
      <c r="U249" s="2"/>
    </row>
    <row r="250" spans="1:21" x14ac:dyDescent="0.25">
      <c r="B250" s="3">
        <v>-1.0573999999999</v>
      </c>
      <c r="C250" s="3">
        <v>0.55480000000000995</v>
      </c>
      <c r="D250" s="3">
        <v>1.2234000000001011</v>
      </c>
      <c r="E250" s="3">
        <v>0.1039999999999992</v>
      </c>
      <c r="F250" s="3">
        <v>1.2387999999999995</v>
      </c>
      <c r="G250" s="3">
        <v>-317.71379999999999</v>
      </c>
      <c r="I250" s="1">
        <v>0</v>
      </c>
      <c r="J250" s="1">
        <v>0</v>
      </c>
      <c r="K250" s="1">
        <v>0</v>
      </c>
      <c r="L250" s="1">
        <v>0</v>
      </c>
      <c r="M250" s="1">
        <v>0</v>
      </c>
      <c r="N250" s="1">
        <v>1</v>
      </c>
      <c r="P250" s="2"/>
      <c r="Q250" s="2"/>
      <c r="R250" s="2"/>
      <c r="S250" s="2"/>
      <c r="T250" s="2"/>
      <c r="U250" s="2"/>
    </row>
    <row r="251" spans="1:21" x14ac:dyDescent="0.25">
      <c r="B251" s="3">
        <v>0.74380000000000024</v>
      </c>
      <c r="C251" s="3">
        <v>-0.12339999999998996</v>
      </c>
      <c r="D251" s="3">
        <v>0.62260000000000026</v>
      </c>
      <c r="E251" s="3">
        <v>-0.29660000000009745</v>
      </c>
      <c r="F251" s="3">
        <v>1.0225999999999988</v>
      </c>
      <c r="G251" s="3">
        <v>-3.4343999999999824</v>
      </c>
      <c r="I251" s="1">
        <v>0</v>
      </c>
      <c r="J251" s="1">
        <v>0</v>
      </c>
      <c r="K251" s="1">
        <v>0</v>
      </c>
      <c r="L251" s="1">
        <v>0</v>
      </c>
      <c r="M251" s="1">
        <v>0</v>
      </c>
      <c r="N251" s="1">
        <v>0</v>
      </c>
      <c r="P251" s="2"/>
      <c r="Q251" s="2"/>
      <c r="R251" s="2"/>
      <c r="S251" s="2"/>
      <c r="T251" s="2"/>
      <c r="U251" s="2"/>
    </row>
    <row r="252" spans="1:21" x14ac:dyDescent="0.25">
      <c r="A252">
        <v>1</v>
      </c>
      <c r="B252" s="3">
        <v>0</v>
      </c>
      <c r="C252" s="3">
        <v>0</v>
      </c>
      <c r="D252" s="3">
        <v>0</v>
      </c>
      <c r="E252" s="3">
        <v>0</v>
      </c>
      <c r="F252" s="3">
        <v>0</v>
      </c>
      <c r="G252" s="3">
        <v>0</v>
      </c>
      <c r="I252" s="1">
        <v>0</v>
      </c>
      <c r="J252" s="1">
        <v>0</v>
      </c>
      <c r="K252" s="1">
        <v>0</v>
      </c>
      <c r="L252" s="1">
        <v>0</v>
      </c>
      <c r="M252" s="1">
        <v>0</v>
      </c>
      <c r="N252" s="1">
        <v>0</v>
      </c>
      <c r="P252" s="2"/>
      <c r="Q252" s="2"/>
      <c r="R252" s="2"/>
      <c r="S252" s="2"/>
      <c r="T252" s="2"/>
      <c r="U252" s="2"/>
    </row>
    <row r="253" spans="1:21" x14ac:dyDescent="0.25">
      <c r="B253" s="3">
        <v>0.84579999999999878</v>
      </c>
      <c r="C253" s="3">
        <v>-0.33460000000000001</v>
      </c>
      <c r="D253" s="3">
        <v>-1.6927999999999006</v>
      </c>
      <c r="E253" s="3">
        <v>-0.96059999999999945</v>
      </c>
      <c r="F253" s="3">
        <v>-0.59220000000000006</v>
      </c>
      <c r="G253" s="3">
        <v>311.38879999999995</v>
      </c>
      <c r="I253" s="1">
        <v>0</v>
      </c>
      <c r="J253" s="1">
        <v>0</v>
      </c>
      <c r="K253" s="1">
        <v>0</v>
      </c>
      <c r="L253" s="1">
        <v>0</v>
      </c>
      <c r="M253" s="1">
        <v>0</v>
      </c>
      <c r="N253" s="1">
        <v>-1</v>
      </c>
      <c r="P253" s="2"/>
      <c r="Q253" s="2"/>
      <c r="R253" s="2"/>
      <c r="S253" s="2"/>
      <c r="T253" s="2"/>
      <c r="U253" s="2"/>
    </row>
    <row r="254" spans="1:21" x14ac:dyDescent="0.25">
      <c r="B254" s="3">
        <v>2.0152000000000001</v>
      </c>
      <c r="C254" s="3">
        <v>-0.23339999999999961</v>
      </c>
      <c r="D254" s="3">
        <v>-3.8100000000000005</v>
      </c>
      <c r="E254" s="3">
        <v>-1.9598000000000013</v>
      </c>
      <c r="F254" s="3">
        <v>-0.95100000000000051</v>
      </c>
      <c r="G254" s="3">
        <v>618.29160000000002</v>
      </c>
      <c r="I254" s="1">
        <v>0</v>
      </c>
      <c r="J254" s="1">
        <v>0</v>
      </c>
      <c r="K254" s="1">
        <v>0</v>
      </c>
      <c r="L254" s="1">
        <v>0</v>
      </c>
      <c r="M254" s="1">
        <v>0</v>
      </c>
      <c r="N254" s="1">
        <v>-2</v>
      </c>
      <c r="P254" s="2"/>
      <c r="Q254" s="2"/>
      <c r="R254" s="2"/>
      <c r="S254" s="2"/>
      <c r="T254" s="2"/>
      <c r="U254" s="2"/>
    </row>
    <row r="255" spans="1:21" x14ac:dyDescent="0.25">
      <c r="B255" s="3">
        <v>7.4995999999999992</v>
      </c>
      <c r="C255" s="3">
        <v>0.23360000000000003</v>
      </c>
      <c r="D255" s="3">
        <v>-9.0791999999999984</v>
      </c>
      <c r="E255" s="3">
        <v>-5.8318000000000012</v>
      </c>
      <c r="F255" s="3">
        <v>-5.7240000000000002</v>
      </c>
      <c r="G255" s="3">
        <v>2159.136</v>
      </c>
      <c r="I255" s="1">
        <v>0</v>
      </c>
      <c r="J255" s="1">
        <v>0</v>
      </c>
      <c r="K255" s="1">
        <v>0</v>
      </c>
      <c r="L255" s="1">
        <v>0</v>
      </c>
      <c r="M255" s="1">
        <v>0</v>
      </c>
      <c r="N255" s="1">
        <v>-7</v>
      </c>
      <c r="P255" s="2"/>
      <c r="Q255" s="2"/>
      <c r="R255" s="2"/>
      <c r="S255" s="2"/>
      <c r="T255" s="2"/>
      <c r="U255" s="2"/>
    </row>
    <row r="256" spans="1:21" x14ac:dyDescent="0.25">
      <c r="B256" s="3">
        <v>2.8208000000000002</v>
      </c>
      <c r="C256" s="3">
        <v>-0.41860000000000985</v>
      </c>
      <c r="D256" s="3">
        <v>-3.2827999999999999</v>
      </c>
      <c r="E256" s="3">
        <v>-1.1769999999999996</v>
      </c>
      <c r="F256" s="3">
        <v>-1.4361999999999</v>
      </c>
      <c r="G256" s="3">
        <v>628.40179999999998</v>
      </c>
      <c r="I256" s="1">
        <v>0</v>
      </c>
      <c r="J256" s="1">
        <v>0</v>
      </c>
      <c r="K256" s="1">
        <v>0</v>
      </c>
      <c r="L256" s="1">
        <v>0</v>
      </c>
      <c r="M256" s="1">
        <v>0</v>
      </c>
      <c r="N256" s="1">
        <v>-2</v>
      </c>
      <c r="P256" s="2"/>
      <c r="Q256" s="2"/>
      <c r="R256" s="2"/>
      <c r="S256" s="2"/>
      <c r="T256" s="2"/>
      <c r="U256" s="2"/>
    </row>
    <row r="257" spans="2:21" x14ac:dyDescent="0.25">
      <c r="B257" s="3">
        <v>1.4245999999999999</v>
      </c>
      <c r="C257" s="3">
        <v>-0.63600000000000989</v>
      </c>
      <c r="D257" s="3">
        <v>-1.113999999999999</v>
      </c>
      <c r="E257" s="3">
        <v>-0.56480000000000175</v>
      </c>
      <c r="F257" s="3">
        <v>-0.62180000000000035</v>
      </c>
      <c r="G257" s="3">
        <v>318.43399999999997</v>
      </c>
      <c r="I257" s="1">
        <v>0</v>
      </c>
      <c r="J257" s="1">
        <v>0</v>
      </c>
      <c r="K257" s="1">
        <v>0</v>
      </c>
      <c r="L257" s="1">
        <v>0</v>
      </c>
      <c r="M257" s="1">
        <v>0</v>
      </c>
      <c r="N257" s="1">
        <v>-1</v>
      </c>
      <c r="P257" s="2"/>
      <c r="Q257" s="2"/>
      <c r="R257" s="2"/>
      <c r="S257" s="2"/>
      <c r="T257" s="2"/>
      <c r="U257" s="2"/>
    </row>
    <row r="258" spans="2:21" x14ac:dyDescent="0.25">
      <c r="B258" s="3">
        <v>0.33239999999999981</v>
      </c>
      <c r="C258" s="3">
        <v>-0.20880000000000987</v>
      </c>
      <c r="D258" s="3">
        <v>-0.63439999999999941</v>
      </c>
      <c r="E258" s="3">
        <v>3.3199999999997232E-2</v>
      </c>
      <c r="F258" s="3">
        <v>1.3199999999999434E-2</v>
      </c>
      <c r="G258" s="3">
        <v>4.9361999999999853</v>
      </c>
      <c r="I258" s="1">
        <v>0</v>
      </c>
      <c r="J258" s="1">
        <v>0</v>
      </c>
      <c r="K258" s="1">
        <v>0</v>
      </c>
      <c r="L258" s="1">
        <v>0</v>
      </c>
      <c r="M258" s="1">
        <v>0</v>
      </c>
      <c r="N258" s="1">
        <v>0</v>
      </c>
      <c r="P258" s="2"/>
      <c r="Q258" s="2"/>
      <c r="R258" s="2"/>
      <c r="S258" s="2"/>
      <c r="T258" s="2"/>
      <c r="U258" s="2"/>
    </row>
    <row r="259" spans="2:21" x14ac:dyDescent="0.25">
      <c r="B259" s="3">
        <v>1.9472000000001</v>
      </c>
      <c r="C259" s="3">
        <v>-0.31659999999999977</v>
      </c>
      <c r="D259" s="3">
        <v>-2.3777999999999988</v>
      </c>
      <c r="E259" s="3">
        <v>-0.52060000000000173</v>
      </c>
      <c r="F259" s="3">
        <v>0.11659999999999826</v>
      </c>
      <c r="G259" s="3">
        <v>321.04039999999895</v>
      </c>
      <c r="I259" s="1">
        <v>0</v>
      </c>
      <c r="J259" s="1">
        <v>0</v>
      </c>
      <c r="K259" s="1">
        <v>0</v>
      </c>
      <c r="L259" s="1">
        <v>0</v>
      </c>
      <c r="M259" s="1">
        <v>0</v>
      </c>
      <c r="N259" s="1">
        <v>-1</v>
      </c>
      <c r="P259" s="2"/>
      <c r="Q259" s="2"/>
      <c r="R259" s="2"/>
      <c r="S259" s="2"/>
      <c r="T259" s="2"/>
      <c r="U259" s="2"/>
    </row>
    <row r="260" spans="2:21" x14ac:dyDescent="0.25">
      <c r="B260" s="3">
        <v>2.8245999999999984</v>
      </c>
      <c r="C260" s="3">
        <v>9.5999999999998309E-3</v>
      </c>
      <c r="D260" s="3">
        <v>-3.6440000000000001</v>
      </c>
      <c r="E260" s="3">
        <v>-1.7578000000001026</v>
      </c>
      <c r="F260" s="3">
        <v>-0.69880000000000031</v>
      </c>
      <c r="G260" s="3">
        <v>627.81439999999998</v>
      </c>
      <c r="I260" s="1">
        <v>0</v>
      </c>
      <c r="J260" s="1">
        <v>0</v>
      </c>
      <c r="K260" s="1">
        <v>0</v>
      </c>
      <c r="L260" s="1">
        <v>0</v>
      </c>
      <c r="M260" s="1">
        <v>0</v>
      </c>
      <c r="N260" s="1">
        <v>-2</v>
      </c>
      <c r="P260" s="2"/>
      <c r="Q260" s="2"/>
      <c r="R260" s="2"/>
      <c r="S260" s="2"/>
      <c r="T260" s="2"/>
      <c r="U260" s="2"/>
    </row>
    <row r="261" spans="2:21" x14ac:dyDescent="0.25">
      <c r="B261" s="3">
        <v>8.093</v>
      </c>
      <c r="C261" s="3">
        <v>0.58079999999999998</v>
      </c>
      <c r="D261" s="3">
        <v>-9.631199999999998</v>
      </c>
      <c r="E261" s="3">
        <v>-6.2076000000000011</v>
      </c>
      <c r="F261" s="3">
        <v>-5.4245999999999004</v>
      </c>
      <c r="G261" s="3">
        <v>2159.6684</v>
      </c>
      <c r="I261" s="1">
        <v>0</v>
      </c>
      <c r="J261" s="1">
        <v>0</v>
      </c>
      <c r="K261" s="1">
        <v>0</v>
      </c>
      <c r="L261" s="1">
        <v>0</v>
      </c>
      <c r="M261" s="1">
        <v>0</v>
      </c>
      <c r="N261" s="1">
        <v>-7</v>
      </c>
      <c r="P261" s="2"/>
      <c r="Q261" s="2"/>
      <c r="R261" s="2"/>
      <c r="S261" s="2"/>
      <c r="T261" s="2"/>
      <c r="U261" s="2"/>
    </row>
    <row r="262" spans="2:21" x14ac:dyDescent="0.25">
      <c r="B262" s="3">
        <v>2.8208000000000002</v>
      </c>
      <c r="C262" s="3">
        <v>-0.41860000000000985</v>
      </c>
      <c r="D262" s="3">
        <v>-3.2827999999999999</v>
      </c>
      <c r="E262" s="3">
        <v>-1.1769999999999996</v>
      </c>
      <c r="F262" s="3">
        <v>-1.4361999999999</v>
      </c>
      <c r="G262" s="3">
        <v>628.40179999999998</v>
      </c>
      <c r="I262" s="1">
        <v>0</v>
      </c>
      <c r="J262" s="1">
        <v>0</v>
      </c>
      <c r="K262" s="1">
        <v>0</v>
      </c>
      <c r="L262" s="1">
        <v>0</v>
      </c>
      <c r="M262" s="1">
        <v>0</v>
      </c>
      <c r="N262" s="1">
        <v>-2</v>
      </c>
    </row>
    <row r="263" spans="2:21" x14ac:dyDescent="0.25">
      <c r="B263" s="3">
        <v>1.4245999999999999</v>
      </c>
      <c r="C263" s="3">
        <v>-0.63600000000000989</v>
      </c>
      <c r="D263" s="3">
        <v>-1.113999999999999</v>
      </c>
      <c r="E263" s="3">
        <v>-0.56480000000000175</v>
      </c>
      <c r="F263" s="3">
        <v>-0.62180000000000035</v>
      </c>
      <c r="G263" s="3">
        <v>318.43399999999997</v>
      </c>
      <c r="I263" s="1">
        <v>0</v>
      </c>
      <c r="J263" s="1">
        <v>0</v>
      </c>
      <c r="K263" s="1">
        <v>0</v>
      </c>
      <c r="L263" s="1">
        <v>0</v>
      </c>
      <c r="M263" s="1">
        <v>0</v>
      </c>
      <c r="N263" s="1">
        <v>-1</v>
      </c>
    </row>
    <row r="264" spans="2:21" x14ac:dyDescent="0.25">
      <c r="B264" s="3">
        <v>0.33239999999999981</v>
      </c>
      <c r="C264" s="3">
        <v>-0.20880000000000987</v>
      </c>
      <c r="D264" s="3">
        <v>-0.63439999999999941</v>
      </c>
      <c r="E264" s="3">
        <v>3.3199999999997232E-2</v>
      </c>
      <c r="F264" s="3">
        <v>1.3199999999999434E-2</v>
      </c>
      <c r="G264" s="3">
        <v>4.9361999999999853</v>
      </c>
      <c r="I264" s="1">
        <v>0</v>
      </c>
      <c r="J264" s="1">
        <v>0</v>
      </c>
      <c r="K264" s="1">
        <v>0</v>
      </c>
      <c r="L264" s="1">
        <v>0</v>
      </c>
      <c r="M264" s="1">
        <v>0</v>
      </c>
      <c r="N264" s="1">
        <v>0</v>
      </c>
    </row>
    <row r="265" spans="2:21" x14ac:dyDescent="0.25">
      <c r="B265" s="3">
        <v>0.84579999999999878</v>
      </c>
      <c r="C265" s="3">
        <v>-0.33460000000000001</v>
      </c>
      <c r="D265" s="3">
        <v>-1.6927999999999006</v>
      </c>
      <c r="E265" s="3">
        <v>-0.96059999999999945</v>
      </c>
      <c r="F265" s="3">
        <v>-0.59220000000000006</v>
      </c>
      <c r="G265" s="3">
        <v>311.38879999999995</v>
      </c>
      <c r="I265" s="1">
        <v>0</v>
      </c>
      <c r="J265" s="1">
        <v>0</v>
      </c>
      <c r="K265" s="1">
        <v>0</v>
      </c>
      <c r="L265" s="1">
        <v>0</v>
      </c>
      <c r="M265" s="1">
        <v>0</v>
      </c>
      <c r="N265" s="1">
        <v>-1</v>
      </c>
      <c r="P265" s="2"/>
    </row>
    <row r="266" spans="2:21" x14ac:dyDescent="0.25">
      <c r="B266" s="3">
        <v>2.0152000000000001</v>
      </c>
      <c r="C266" s="3">
        <v>-0.23339999999999961</v>
      </c>
      <c r="D266" s="3">
        <v>-3.8100000000000005</v>
      </c>
      <c r="E266" s="3">
        <v>-1.9598000000000013</v>
      </c>
      <c r="F266" s="3">
        <v>-0.95100000000000051</v>
      </c>
      <c r="G266" s="3">
        <v>618.29160000000002</v>
      </c>
      <c r="I266" s="1">
        <v>0</v>
      </c>
      <c r="J266" s="1">
        <v>0</v>
      </c>
      <c r="K266" s="1">
        <v>0</v>
      </c>
      <c r="L266" s="1">
        <v>0</v>
      </c>
      <c r="M266" s="1">
        <v>0</v>
      </c>
      <c r="N266" s="1">
        <v>-2</v>
      </c>
      <c r="P266" s="2"/>
    </row>
    <row r="267" spans="2:21" x14ac:dyDescent="0.25">
      <c r="B267" s="3">
        <v>7.4995999999999992</v>
      </c>
      <c r="C267" s="3">
        <v>0.23360000000000003</v>
      </c>
      <c r="D267" s="3">
        <v>-9.0791999999999984</v>
      </c>
      <c r="E267" s="3">
        <v>-5.8318000000000012</v>
      </c>
      <c r="F267" s="3">
        <v>-5.7240000000000002</v>
      </c>
      <c r="G267" s="3">
        <v>2159.136</v>
      </c>
      <c r="I267" s="1">
        <v>0</v>
      </c>
      <c r="J267" s="1">
        <v>0</v>
      </c>
      <c r="K267" s="1">
        <v>0</v>
      </c>
      <c r="L267" s="1">
        <v>0</v>
      </c>
      <c r="M267" s="1">
        <v>0</v>
      </c>
      <c r="N267" s="1">
        <v>-7</v>
      </c>
      <c r="P267" s="2"/>
    </row>
    <row r="268" spans="2:21" x14ac:dyDescent="0.25">
      <c r="B268" s="3">
        <v>2.8208000000000002</v>
      </c>
      <c r="C268" s="3">
        <v>-0.41860000000000985</v>
      </c>
      <c r="D268" s="3">
        <v>-3.2827999999999999</v>
      </c>
      <c r="E268" s="3">
        <v>-1.1769999999999996</v>
      </c>
      <c r="F268" s="3">
        <v>-1.4361999999999</v>
      </c>
      <c r="G268" s="3">
        <v>628.40179999999998</v>
      </c>
      <c r="I268" s="1">
        <v>0</v>
      </c>
      <c r="J268" s="1">
        <v>0</v>
      </c>
      <c r="K268" s="1">
        <v>0</v>
      </c>
      <c r="L268" s="1">
        <v>0</v>
      </c>
      <c r="M268" s="1">
        <v>0</v>
      </c>
      <c r="N268" s="1">
        <v>-2</v>
      </c>
      <c r="P268" s="2"/>
    </row>
    <row r="269" spans="2:21" x14ac:dyDescent="0.25">
      <c r="B269" s="3">
        <v>1.4245999999999999</v>
      </c>
      <c r="C269" s="3">
        <v>-0.63600000000000989</v>
      </c>
      <c r="D269" s="3">
        <v>-1.113999999999999</v>
      </c>
      <c r="E269" s="3">
        <v>-0.56480000000000175</v>
      </c>
      <c r="F269" s="3">
        <v>-0.62180000000000035</v>
      </c>
      <c r="G269" s="3">
        <v>318.43399999999997</v>
      </c>
      <c r="I269" s="1">
        <v>0</v>
      </c>
      <c r="J269" s="1">
        <v>0</v>
      </c>
      <c r="K269" s="1">
        <v>0</v>
      </c>
      <c r="L269" s="1">
        <v>0</v>
      </c>
      <c r="M269" s="1">
        <v>0</v>
      </c>
      <c r="N269" s="1">
        <v>-1</v>
      </c>
      <c r="P269" s="2"/>
    </row>
    <row r="270" spans="2:21" x14ac:dyDescent="0.25">
      <c r="B270" s="3">
        <v>0.33239999999999981</v>
      </c>
      <c r="C270" s="3">
        <v>-0.20880000000000987</v>
      </c>
      <c r="D270" s="3">
        <v>-0.63439999999999941</v>
      </c>
      <c r="E270" s="3">
        <v>3.3199999999997232E-2</v>
      </c>
      <c r="F270" s="3">
        <v>1.3199999999999434E-2</v>
      </c>
      <c r="G270" s="3">
        <v>4.9361999999999853</v>
      </c>
      <c r="I270" s="1">
        <v>0</v>
      </c>
      <c r="J270" s="1">
        <v>0</v>
      </c>
      <c r="K270" s="1">
        <v>0</v>
      </c>
      <c r="L270" s="1">
        <v>0</v>
      </c>
      <c r="M270" s="1">
        <v>0</v>
      </c>
      <c r="N270" s="1">
        <v>0</v>
      </c>
      <c r="P270" s="2"/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Grouped_Sensor_Data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wrf</dc:creator>
  <cp:lastModifiedBy>rf w</cp:lastModifiedBy>
  <dcterms:created xsi:type="dcterms:W3CDTF">2025-09-15T07:31:12Z</dcterms:created>
  <dcterms:modified xsi:type="dcterms:W3CDTF">2025-09-18T08:44:18Z</dcterms:modified>
</cp:coreProperties>
</file>